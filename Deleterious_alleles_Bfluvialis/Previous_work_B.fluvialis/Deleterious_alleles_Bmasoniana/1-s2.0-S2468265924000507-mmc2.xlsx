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80" windowHeight="11980" firstSheet="4" activeTab="6"/>
  </bookViews>
  <sheets>
    <sheet name="Table S1" sheetId="1" r:id="rId1"/>
    <sheet name="Table S2" sheetId="15" r:id="rId2"/>
    <sheet name="Table S3" sheetId="17" r:id="rId3"/>
    <sheet name="Table S4" sheetId="16" r:id="rId4"/>
    <sheet name="Table S5" sheetId="14" r:id="rId5"/>
    <sheet name="Table S6" sheetId="5" r:id="rId6"/>
    <sheet name="Table S7" sheetId="4" r:id="rId7"/>
    <sheet name="Table S8" sheetId="8" r:id="rId8"/>
    <sheet name="Table S9" sheetId="9" r:id="rId9"/>
    <sheet name="Table S10" sheetId="10" r:id="rId10"/>
    <sheet name="Table S11" sheetId="11" r:id="rId11"/>
    <sheet name="Table S12" sheetId="12" r:id="rId12"/>
  </sheets>
  <calcPr calcId="144525"/>
</workbook>
</file>

<file path=xl/sharedStrings.xml><?xml version="1.0" encoding="utf-8"?>
<sst xmlns="http://schemas.openxmlformats.org/spreadsheetml/2006/main" count="6451" uniqueCount="3261">
  <si>
    <r>
      <rPr>
        <b/>
        <sz val="12"/>
        <rFont val="Times New Roman Bold"/>
        <charset val="134"/>
      </rPr>
      <t xml:space="preserve">Table S1 </t>
    </r>
    <r>
      <rPr>
        <sz val="12"/>
        <rFont val="Times New Roman"/>
        <charset val="134"/>
      </rPr>
      <t xml:space="preserve">Sample information of the </t>
    </r>
    <r>
      <rPr>
        <i/>
        <sz val="12"/>
        <rFont val="Times New Roman"/>
        <charset val="134"/>
      </rPr>
      <t xml:space="preserve">Begonia masoniana </t>
    </r>
    <r>
      <rPr>
        <sz val="12"/>
        <rFont val="Times New Roman"/>
        <charset val="134"/>
      </rPr>
      <t>complex used for whole-genome sequencing.</t>
    </r>
  </si>
  <si>
    <t>Species</t>
  </si>
  <si>
    <t>Sample ID</t>
  </si>
  <si>
    <t>Individuals</t>
  </si>
  <si>
    <t>Latitude (°N)</t>
  </si>
  <si>
    <t>Longitude (°E)</t>
  </si>
  <si>
    <t>Map Ratio (%)</t>
  </si>
  <si>
    <t>Average Depth (×)</t>
  </si>
  <si>
    <t>Average Coverage (%)</t>
  </si>
  <si>
    <t>B. liuyanii</t>
  </si>
  <si>
    <t>LND-1</t>
  </si>
  <si>
    <t>R01</t>
  </si>
  <si>
    <t>LND-2</t>
  </si>
  <si>
    <t>R02</t>
  </si>
  <si>
    <t>LND-3</t>
  </si>
  <si>
    <t>R03</t>
  </si>
  <si>
    <t>LLG2-1</t>
  </si>
  <si>
    <t>R04</t>
  </si>
  <si>
    <t>LLG2-2</t>
  </si>
  <si>
    <t>R05</t>
  </si>
  <si>
    <t>LLG2-3</t>
  </si>
  <si>
    <t>R06</t>
  </si>
  <si>
    <t>LLG3-1</t>
  </si>
  <si>
    <t>R07</t>
  </si>
  <si>
    <t>LLG3-2</t>
  </si>
  <si>
    <t>R08</t>
  </si>
  <si>
    <t>LLG3-3</t>
  </si>
  <si>
    <t>R09</t>
  </si>
  <si>
    <t>LLG4-1</t>
  </si>
  <si>
    <t>R10</t>
  </si>
  <si>
    <t>LLG4-2</t>
  </si>
  <si>
    <t>R11</t>
  </si>
  <si>
    <t>LLG4-3</t>
  </si>
  <si>
    <t>R12</t>
  </si>
  <si>
    <t>LXL-1</t>
  </si>
  <si>
    <t>R13</t>
  </si>
  <si>
    <t>LXL-2</t>
  </si>
  <si>
    <t>R14</t>
  </si>
  <si>
    <t>LXL-3</t>
  </si>
  <si>
    <t>R15</t>
  </si>
  <si>
    <t>LZP-1</t>
  </si>
  <si>
    <t>R16</t>
  </si>
  <si>
    <t>LZP-2</t>
  </si>
  <si>
    <t>R17</t>
  </si>
  <si>
    <t>LZP-3</t>
  </si>
  <si>
    <t>R18</t>
  </si>
  <si>
    <t>LFC-1</t>
  </si>
  <si>
    <t>R45</t>
  </si>
  <si>
    <t>LFC-2</t>
  </si>
  <si>
    <t>R46</t>
  </si>
  <si>
    <t>LFC-3</t>
  </si>
  <si>
    <t>R47</t>
  </si>
  <si>
    <t>B. longgangensis</t>
  </si>
  <si>
    <t>NND1-1</t>
  </si>
  <si>
    <t>R19</t>
  </si>
  <si>
    <t>NND1-2</t>
  </si>
  <si>
    <t>R20</t>
  </si>
  <si>
    <t>NND1-3</t>
  </si>
  <si>
    <t>R21</t>
  </si>
  <si>
    <t>NND2-1</t>
  </si>
  <si>
    <t>R22</t>
  </si>
  <si>
    <t>NND2-2</t>
  </si>
  <si>
    <t>R23</t>
  </si>
  <si>
    <t>NND2-3</t>
  </si>
  <si>
    <t>R24</t>
  </si>
  <si>
    <t>NNG-1</t>
  </si>
  <si>
    <t>R25</t>
  </si>
  <si>
    <t>NNG-2</t>
  </si>
  <si>
    <t>R26</t>
  </si>
  <si>
    <t>NNG-3</t>
  </si>
  <si>
    <t>R27</t>
  </si>
  <si>
    <t>NNG-4</t>
  </si>
  <si>
    <t>R28</t>
  </si>
  <si>
    <t>NZB-1</t>
  </si>
  <si>
    <t>R29</t>
  </si>
  <si>
    <t>NZB-2</t>
  </si>
  <si>
    <t>R30</t>
  </si>
  <si>
    <t>NZB-3</t>
  </si>
  <si>
    <t>R31</t>
  </si>
  <si>
    <t>NXS-1</t>
  </si>
  <si>
    <t>R54</t>
  </si>
  <si>
    <t>NXS-2</t>
  </si>
  <si>
    <t>R55</t>
  </si>
  <si>
    <t>NXS-3</t>
  </si>
  <si>
    <t>R56</t>
  </si>
  <si>
    <t>B. masoniana</t>
  </si>
  <si>
    <t>MPX-1</t>
  </si>
  <si>
    <t>R32</t>
  </si>
  <si>
    <t>MPX-2</t>
  </si>
  <si>
    <t>R33</t>
  </si>
  <si>
    <t>MPX-3</t>
  </si>
  <si>
    <t>R34</t>
  </si>
  <si>
    <t>MPX-4</t>
  </si>
  <si>
    <t>R35</t>
  </si>
  <si>
    <t>MXD-1</t>
  </si>
  <si>
    <t>R36</t>
  </si>
  <si>
    <t>MXD-2</t>
  </si>
  <si>
    <t>R37</t>
  </si>
  <si>
    <t>MXD-3</t>
  </si>
  <si>
    <t>R38</t>
  </si>
  <si>
    <t>MDH-1</t>
  </si>
  <si>
    <t>R39</t>
  </si>
  <si>
    <t>MDH-2</t>
  </si>
  <si>
    <t>R40</t>
  </si>
  <si>
    <t>MDH-3</t>
  </si>
  <si>
    <t>R41</t>
  </si>
  <si>
    <t>MSQ-1</t>
  </si>
  <si>
    <t>R42</t>
  </si>
  <si>
    <t>MSQ-2</t>
  </si>
  <si>
    <t>R43</t>
  </si>
  <si>
    <t>MSQ-3</t>
  </si>
  <si>
    <t>R44</t>
  </si>
  <si>
    <t>MSL-1</t>
  </si>
  <si>
    <t>R57</t>
  </si>
  <si>
    <t>MSL-2</t>
  </si>
  <si>
    <t>R58</t>
  </si>
  <si>
    <t>MSL-3</t>
  </si>
  <si>
    <t>R59</t>
  </si>
  <si>
    <t>MBY-1</t>
  </si>
  <si>
    <t>R60</t>
  </si>
  <si>
    <t>MBY-2</t>
  </si>
  <si>
    <t>R61</t>
  </si>
  <si>
    <t>MBY-3</t>
  </si>
  <si>
    <t>R62</t>
  </si>
  <si>
    <t>MLD-1</t>
  </si>
  <si>
    <t>R63</t>
  </si>
  <si>
    <t>MLD-2</t>
  </si>
  <si>
    <t>R64</t>
  </si>
  <si>
    <t>MLD-3</t>
  </si>
  <si>
    <t>R65</t>
  </si>
  <si>
    <t>B. ferox</t>
  </si>
  <si>
    <t>FLZ-1</t>
  </si>
  <si>
    <t>R66</t>
  </si>
  <si>
    <t>FLZ-2</t>
  </si>
  <si>
    <t>R67</t>
  </si>
  <si>
    <t>FLZ-3</t>
  </si>
  <si>
    <t>R68</t>
  </si>
  <si>
    <t>FLZ7-1</t>
  </si>
  <si>
    <t>R69</t>
  </si>
  <si>
    <t>FLZ7-2</t>
  </si>
  <si>
    <t>R70</t>
  </si>
  <si>
    <t>FLZ7-3</t>
  </si>
  <si>
    <t>R71</t>
  </si>
  <si>
    <t>FLZ8-1</t>
  </si>
  <si>
    <t>R72</t>
  </si>
  <si>
    <t>FLZ8-2</t>
  </si>
  <si>
    <t>R73</t>
  </si>
  <si>
    <t>FLZ8-3</t>
  </si>
  <si>
    <t>R74</t>
  </si>
  <si>
    <t>B. variegata</t>
  </si>
  <si>
    <t>VKUN-1</t>
  </si>
  <si>
    <t>R75</t>
  </si>
  <si>
    <t>KUN garden</t>
  </si>
  <si>
    <t>VKUN-2</t>
  </si>
  <si>
    <t>R76</t>
  </si>
  <si>
    <t>VKUN-3</t>
  </si>
  <si>
    <t>R77</t>
  </si>
  <si>
    <t xml:space="preserve">Average </t>
  </si>
  <si>
    <r>
      <rPr>
        <b/>
        <sz val="12"/>
        <color theme="1"/>
        <rFont val="Times New Roman Bold"/>
        <charset val="134"/>
      </rPr>
      <t xml:space="preserve">Table S2 </t>
    </r>
    <r>
      <rPr>
        <sz val="12"/>
        <color theme="1"/>
        <rFont val="Times New Roman"/>
        <charset val="134"/>
      </rPr>
      <t>Genetic diversity (</t>
    </r>
    <r>
      <rPr>
        <sz val="12"/>
        <color theme="1"/>
        <rFont val="Times New Roman Bold"/>
        <charset val="134"/>
      </rPr>
      <t>π</t>
    </r>
    <r>
      <rPr>
        <sz val="12"/>
        <color theme="1"/>
        <rFont val="Times New Roman"/>
        <charset val="134"/>
      </rPr>
      <t xml:space="preserve">) and Tajima’s D (mean ± standard error) estimated in 200kb non-overlapping windows for the </t>
    </r>
    <r>
      <rPr>
        <i/>
        <sz val="12"/>
        <color theme="1"/>
        <rFont val="Times New Roman Italic"/>
        <charset val="134"/>
      </rPr>
      <t>Begonia masoniana</t>
    </r>
    <r>
      <rPr>
        <sz val="12"/>
        <color theme="1"/>
        <rFont val="Times New Roman"/>
        <charset val="134"/>
      </rPr>
      <t xml:space="preserve"> complex.</t>
    </r>
  </si>
  <si>
    <t>π</t>
  </si>
  <si>
    <t>Tajima’s D</t>
  </si>
  <si>
    <t>0.006291±0.000121</t>
  </si>
  <si>
    <t>0.523325±0.007565</t>
  </si>
  <si>
    <t>B. longganggensis</t>
  </si>
  <si>
    <t>0.007989±0.000159</t>
  </si>
  <si>
    <t>1.202527±0.006923</t>
  </si>
  <si>
    <t>0.007062±0.000141</t>
  </si>
  <si>
    <t>0.284050±0.007834</t>
  </si>
  <si>
    <t>0.005344±0.000105</t>
  </si>
  <si>
    <t>0.537110±0.005895</t>
  </si>
  <si>
    <r>
      <t>Table S3</t>
    </r>
    <r>
      <rPr>
        <sz val="12"/>
        <color theme="1"/>
        <rFont val="Times New Roman Regular"/>
        <charset val="134"/>
      </rPr>
      <t xml:space="preserve"> Pairwise </t>
    </r>
    <r>
      <rPr>
        <i/>
        <sz val="12"/>
        <color theme="1"/>
        <rFont val="Times New Roman Italic"/>
        <charset val="134"/>
      </rPr>
      <t>F</t>
    </r>
    <r>
      <rPr>
        <i/>
        <vertAlign val="subscript"/>
        <sz val="12"/>
        <color theme="1"/>
        <rFont val="Times New Roman Italic"/>
        <charset val="134"/>
      </rPr>
      <t>ST</t>
    </r>
    <r>
      <rPr>
        <sz val="12"/>
        <color theme="1"/>
        <rFont val="Times New Roman Regular"/>
        <charset val="134"/>
      </rPr>
      <t xml:space="preserve"> values estimated for each sampling location within the different species.</t>
    </r>
  </si>
  <si>
    <t>Population1</t>
  </si>
  <si>
    <t>Population2</t>
  </si>
  <si>
    <r>
      <rPr>
        <i/>
        <sz val="11"/>
        <color theme="1"/>
        <rFont val="Times New Roman Italic"/>
        <charset val="134"/>
      </rPr>
      <t>F</t>
    </r>
    <r>
      <rPr>
        <vertAlign val="subscript"/>
        <sz val="11"/>
        <color theme="1"/>
        <rFont val="Times New Roman"/>
        <charset val="134"/>
      </rPr>
      <t>ST</t>
    </r>
  </si>
  <si>
    <t>Mean</t>
  </si>
  <si>
    <t>Standard Error</t>
  </si>
  <si>
    <t>MBY</t>
  </si>
  <si>
    <t>MDH</t>
  </si>
  <si>
    <t>MLD</t>
  </si>
  <si>
    <t>MPX</t>
  </si>
  <si>
    <t>MSL</t>
  </si>
  <si>
    <t>MSQ</t>
  </si>
  <si>
    <t>MXD</t>
  </si>
  <si>
    <t>LFC</t>
  </si>
  <si>
    <t>LLG2</t>
  </si>
  <si>
    <t>LLG3</t>
  </si>
  <si>
    <t>LLG4</t>
  </si>
  <si>
    <t>LND</t>
  </si>
  <si>
    <t>LXL</t>
  </si>
  <si>
    <t>LZP</t>
  </si>
  <si>
    <t>NND1</t>
  </si>
  <si>
    <t>NND2</t>
  </si>
  <si>
    <t>NNG</t>
  </si>
  <si>
    <t>NXS</t>
  </si>
  <si>
    <t>NZB</t>
  </si>
  <si>
    <r>
      <t>Table S4</t>
    </r>
    <r>
      <rPr>
        <sz val="12"/>
        <color theme="1"/>
        <rFont val="Times New Roman Regular"/>
        <charset val="134"/>
      </rPr>
      <t xml:space="preserve"> Relative likelihood of the 20 demographic models tested in </t>
    </r>
    <r>
      <rPr>
        <i/>
        <sz val="12"/>
        <color theme="1"/>
        <rFont val="Times New Roman Italic"/>
        <charset val="134"/>
      </rPr>
      <t>dadi</t>
    </r>
    <r>
      <rPr>
        <sz val="12"/>
        <color theme="1"/>
        <rFont val="Times New Roman Regular"/>
        <charset val="134"/>
      </rPr>
      <t xml:space="preserve"> shown in Figure S4. </t>
    </r>
  </si>
  <si>
    <t>Models</t>
  </si>
  <si>
    <t>Best_replicates</t>
  </si>
  <si>
    <t>Parameters</t>
  </si>
  <si>
    <t>Log-likelihoods</t>
  </si>
  <si>
    <t>AICs</t>
  </si>
  <si>
    <t>DeltaAICs</t>
  </si>
  <si>
    <t>ancmig_adj_1</t>
  </si>
  <si>
    <t>Round_4_Replicate_29</t>
  </si>
  <si>
    <t>refugia_adj_2</t>
  </si>
  <si>
    <t>Round_4_Replicate_13</t>
  </si>
  <si>
    <t>ancmig_adj_2</t>
  </si>
  <si>
    <t>ancmig_adj_3</t>
  </si>
  <si>
    <t>Round_4_Replicate_1</t>
  </si>
  <si>
    <t>split_uni_mig_adjacent_var2</t>
  </si>
  <si>
    <t>Round_4_Replicate_36</t>
  </si>
  <si>
    <t>split_symmig_adjacent</t>
  </si>
  <si>
    <t>split_uni_mig_adjacent_var1</t>
  </si>
  <si>
    <t>Round_4_Replicate_16</t>
  </si>
  <si>
    <t>refugia_adj_2_var_sym</t>
  </si>
  <si>
    <t>Round_4_Replicate_22</t>
  </si>
  <si>
    <t>refugia_adj_3_var_uni</t>
  </si>
  <si>
    <t>Round_4_Replicate_10</t>
  </si>
  <si>
    <t>refugia_adj_3</t>
  </si>
  <si>
    <t>Round_4_Replicate_25</t>
  </si>
  <si>
    <t>refugia_adj_2_var_uni</t>
  </si>
  <si>
    <t>sim_split_refugia_sym_mig_adjacent_size</t>
  </si>
  <si>
    <t>Round_4_Replicate_15</t>
  </si>
  <si>
    <t>split_sym_mig_adjacent_var1</t>
  </si>
  <si>
    <t>Round_4_Replicate_31</t>
  </si>
  <si>
    <t>ancmig_2_size</t>
  </si>
  <si>
    <t>Round_4_Replicate_17</t>
  </si>
  <si>
    <t>refugia_adj_1</t>
  </si>
  <si>
    <t>Round_4_Replicate_8</t>
  </si>
  <si>
    <t>split_nomig</t>
  </si>
  <si>
    <t>split_nomig_size</t>
  </si>
  <si>
    <t>Round_4_Replicate_40</t>
  </si>
  <si>
    <t>split_sym_mig_adjacent_var2</t>
  </si>
  <si>
    <t>refugia_adj_3_var_sym</t>
  </si>
  <si>
    <t>split_symmig_all</t>
  </si>
  <si>
    <t>Note: For each model, the table includes the best replicate out of 4 rounds in 100 trials (Best_replicates), the number of parameters (Parameters), the maximum likelihood estimate (Log-likelihoods),  the Akaike's information criterion value (AICs), and the difference in AIC value (DeltaAICs). ancmig: ancestral migration (referring to historical migration); nomig: denotes no migration; symmig: stands for symmetrical migration (referring to migration within the same region).</t>
  </si>
  <si>
    <r>
      <rPr>
        <b/>
        <sz val="12"/>
        <color theme="1"/>
        <rFont val="Times New Roman Regular"/>
        <charset val="134"/>
      </rPr>
      <t xml:space="preserve">Table S5 </t>
    </r>
    <r>
      <rPr>
        <sz val="12"/>
        <color theme="1"/>
        <rFont val="Times New Roman Regular"/>
        <charset val="134"/>
      </rPr>
      <t>Inferred demographic parameters (including 95% confidence intervals) for the best-fitting</t>
    </r>
    <r>
      <rPr>
        <i/>
        <sz val="12"/>
        <color theme="1"/>
        <rFont val="Times New Roman Italic"/>
        <charset val="134"/>
      </rPr>
      <t xml:space="preserve"> dadi</t>
    </r>
    <r>
      <rPr>
        <sz val="12"/>
        <color theme="1"/>
        <rFont val="Times New Roman Regular"/>
        <charset val="134"/>
      </rPr>
      <t>model.</t>
    </r>
  </si>
  <si>
    <t>Point estimations</t>
  </si>
  <si>
    <t>95% confidence intervals</t>
  </si>
  <si>
    <t>Lower bounds</t>
  </si>
  <si>
    <t>Upper bounds</t>
  </si>
  <si>
    <t>Nu1</t>
  </si>
  <si>
    <t>NuA</t>
  </si>
  <si>
    <t>Nu2</t>
  </si>
  <si>
    <t>Nu3</t>
  </si>
  <si>
    <t>mA</t>
  </si>
  <si>
    <t>m1</t>
  </si>
  <si>
    <t>m2</t>
  </si>
  <si>
    <t>T1</t>
  </si>
  <si>
    <t>T2</t>
  </si>
  <si>
    <t>T3</t>
  </si>
  <si>
    <r>
      <rPr>
        <sz val="12"/>
        <color theme="1"/>
        <rFont val="Times New Roman Regular"/>
        <charset val="134"/>
      </rPr>
      <t xml:space="preserve">Note: NuA denotes the effective population size of the ancestor B (the common ancestor of </t>
    </r>
    <r>
      <rPr>
        <i/>
        <sz val="12"/>
        <color theme="1"/>
        <rFont val="Times New Roman Italic"/>
        <charset val="134"/>
      </rPr>
      <t xml:space="preserve">B. liuyanii </t>
    </r>
    <r>
      <rPr>
        <sz val="12"/>
        <color theme="1"/>
        <rFont val="Times New Roman Regular"/>
        <charset val="134"/>
      </rPr>
      <t xml:space="preserve">and </t>
    </r>
    <r>
      <rPr>
        <i/>
        <sz val="12"/>
        <color theme="1"/>
        <rFont val="Times New Roman Italic"/>
        <charset val="134"/>
      </rPr>
      <t>B. longgangensis</t>
    </r>
    <r>
      <rPr>
        <sz val="12"/>
        <color theme="1"/>
        <rFont val="Times New Roman Regular"/>
        <charset val="134"/>
      </rPr>
      <t xml:space="preserve">); Nu1 indicates the </t>
    </r>
    <r>
      <rPr>
        <i/>
        <sz val="12"/>
        <color theme="1"/>
        <rFont val="Times New Roman Italic"/>
        <charset val="134"/>
      </rPr>
      <t xml:space="preserve">B. liuyanii </t>
    </r>
    <r>
      <rPr>
        <sz val="12"/>
        <color theme="1"/>
        <rFont val="Times New Roman Regular"/>
        <charset val="134"/>
      </rPr>
      <t xml:space="preserve">effective population size; Nu2 indicates the </t>
    </r>
    <r>
      <rPr>
        <i/>
        <sz val="12"/>
        <color theme="1"/>
        <rFont val="Times New Roman Italic"/>
        <charset val="134"/>
      </rPr>
      <t>B. longgangensis</t>
    </r>
    <r>
      <rPr>
        <sz val="12"/>
        <color theme="1"/>
        <rFont val="Times New Roman Regular"/>
        <charset val="134"/>
      </rPr>
      <t xml:space="preserve"> effective population size; Nu3 indicates the </t>
    </r>
    <r>
      <rPr>
        <i/>
        <sz val="12"/>
        <color theme="1"/>
        <rFont val="Times New Roman Italic"/>
        <charset val="134"/>
      </rPr>
      <t xml:space="preserve">B. masoniana </t>
    </r>
    <r>
      <rPr>
        <sz val="12"/>
        <color theme="1"/>
        <rFont val="Times New Roman Regular"/>
        <charset val="134"/>
      </rPr>
      <t xml:space="preserve">effective population size; T1,T2, and T3 indicate three different time periods; mA indicates the m1 indicates the gene flow between </t>
    </r>
    <r>
      <rPr>
        <i/>
        <sz val="12"/>
        <color theme="1"/>
        <rFont val="Times New Roman Italic"/>
        <charset val="134"/>
      </rPr>
      <t xml:space="preserve">B. liuyanii </t>
    </r>
    <r>
      <rPr>
        <sz val="12"/>
        <color theme="1"/>
        <rFont val="Times New Roman Regular"/>
        <charset val="134"/>
      </rPr>
      <t xml:space="preserve">and ancestor B; m2 indicates the gene flow  between </t>
    </r>
    <r>
      <rPr>
        <i/>
        <sz val="12"/>
        <color theme="1"/>
        <rFont val="Times New Roman Italic"/>
        <charset val="134"/>
      </rPr>
      <t>B. longgangensis</t>
    </r>
    <r>
      <rPr>
        <sz val="12"/>
        <color theme="1"/>
        <rFont val="Times New Roman Regular"/>
        <charset val="134"/>
      </rPr>
      <t xml:space="preserve"> and </t>
    </r>
    <r>
      <rPr>
        <i/>
        <sz val="12"/>
        <color theme="1"/>
        <rFont val="Times New Roman Italic"/>
        <charset val="134"/>
      </rPr>
      <t>B. masoniana.</t>
    </r>
  </si>
  <si>
    <r>
      <rPr>
        <b/>
        <sz val="12"/>
        <rFont val="Times New Roman Regular"/>
        <charset val="134"/>
      </rPr>
      <t xml:space="preserve">Table S6 </t>
    </r>
    <r>
      <rPr>
        <sz val="12"/>
        <rFont val="Times New Roman Regular"/>
        <charset val="134"/>
      </rPr>
      <t xml:space="preserve"> Estimates of introgression across different lineage pairs within the </t>
    </r>
    <r>
      <rPr>
        <i/>
        <sz val="12"/>
        <rFont val="Times New Roman Italic"/>
        <charset val="134"/>
      </rPr>
      <t>Begonia masoniana</t>
    </r>
    <r>
      <rPr>
        <sz val="12"/>
        <rFont val="Times New Roman Regular"/>
        <charset val="134"/>
      </rPr>
      <t xml:space="preserve"> complex based on Dstatistic.</t>
    </r>
  </si>
  <si>
    <t>P1</t>
  </si>
  <si>
    <t>P2</t>
  </si>
  <si>
    <t>P3</t>
  </si>
  <si>
    <t>Dstatistic</t>
  </si>
  <si>
    <t>Z-score</t>
  </si>
  <si>
    <t>P-value</t>
  </si>
  <si>
    <t>Note:the topology was set as (((P1, P2) P3) Outgroup)</t>
  </si>
  <si>
    <r>
      <rPr>
        <b/>
        <sz val="12"/>
        <color theme="1"/>
        <rFont val="Times New Roman Regular"/>
        <charset val="134"/>
      </rPr>
      <t xml:space="preserve">Table S7 </t>
    </r>
    <r>
      <rPr>
        <sz val="12"/>
        <color theme="1"/>
        <rFont val="Times New Roman Regular"/>
        <charset val="134"/>
      </rPr>
      <t xml:space="preserve">The kinship relationships among all individuals of the </t>
    </r>
    <r>
      <rPr>
        <i/>
        <sz val="12"/>
        <color theme="1"/>
        <rFont val="Times New Roman Italic"/>
        <charset val="134"/>
      </rPr>
      <t xml:space="preserve">Begonia masoniana </t>
    </r>
    <r>
      <rPr>
        <sz val="12"/>
        <color theme="1"/>
        <rFont val="Times New Roman Regular"/>
        <charset val="134"/>
      </rPr>
      <t>complex.</t>
    </r>
  </si>
  <si>
    <t>Sample</t>
  </si>
  <si>
    <r>
      <rPr>
        <b/>
        <sz val="12"/>
        <color theme="1"/>
        <rFont val="Times New Roman Bold"/>
        <charset val="134"/>
      </rPr>
      <t>Table S8</t>
    </r>
    <r>
      <rPr>
        <sz val="12"/>
        <color theme="1"/>
        <rFont val="Times New Roman"/>
        <charset val="134"/>
      </rPr>
      <t xml:space="preserve"> The inbreeding coefficients and heterozygosity of each individual in the </t>
    </r>
    <r>
      <rPr>
        <i/>
        <sz val="12"/>
        <color theme="1"/>
        <rFont val="Times New Roman Italic"/>
        <charset val="134"/>
      </rPr>
      <t>Begonia masoniana</t>
    </r>
    <r>
      <rPr>
        <sz val="12"/>
        <color theme="1"/>
        <rFont val="Times New Roman"/>
        <charset val="134"/>
      </rPr>
      <t xml:space="preserve"> complex.</t>
    </r>
  </si>
  <si>
    <t>Indivuduals</t>
  </si>
  <si>
    <r>
      <rPr>
        <i/>
        <sz val="12"/>
        <color theme="1"/>
        <rFont val="Times New Roman Italic"/>
        <charset val="134"/>
      </rPr>
      <t>F</t>
    </r>
    <r>
      <rPr>
        <vertAlign val="subscript"/>
        <sz val="12"/>
        <color theme="1"/>
        <rFont val="Times New Roman"/>
        <charset val="134"/>
      </rPr>
      <t>IS</t>
    </r>
    <r>
      <rPr>
        <sz val="12"/>
        <color theme="1"/>
        <rFont val="Times New Roman Regular"/>
        <charset val="134"/>
      </rPr>
      <t xml:space="preserve"> (Individuals)</t>
    </r>
  </si>
  <si>
    <r>
      <rPr>
        <i/>
        <sz val="12"/>
        <color theme="1"/>
        <rFont val="Times New Roman Italic"/>
        <charset val="134"/>
      </rPr>
      <t>F</t>
    </r>
    <r>
      <rPr>
        <vertAlign val="subscript"/>
        <sz val="12"/>
        <color theme="1"/>
        <rFont val="Times New Roman"/>
        <charset val="134"/>
      </rPr>
      <t xml:space="preserve">IS </t>
    </r>
    <r>
      <rPr>
        <sz val="12"/>
        <color theme="1"/>
        <rFont val="Times New Roman Regular"/>
        <charset val="134"/>
      </rPr>
      <t>(Species)</t>
    </r>
  </si>
  <si>
    <r>
      <rPr>
        <i/>
        <sz val="12"/>
        <color theme="1"/>
        <rFont val="Times New Roman Italic"/>
        <charset val="134"/>
      </rPr>
      <t>F</t>
    </r>
    <r>
      <rPr>
        <vertAlign val="subscript"/>
        <sz val="12"/>
        <color theme="1"/>
        <rFont val="Times New Roman"/>
        <charset val="134"/>
      </rPr>
      <t>ROH</t>
    </r>
  </si>
  <si>
    <t>Total length of ROH(&gt;100kb)</t>
  </si>
  <si>
    <t>Heterozygosity</t>
  </si>
  <si>
    <r>
      <rPr>
        <b/>
        <sz val="12"/>
        <color theme="1"/>
        <rFont val="Times New Roman Regular"/>
        <charset val="134"/>
      </rPr>
      <t xml:space="preserve">Table S9 </t>
    </r>
    <r>
      <rPr>
        <sz val="12"/>
        <color theme="1"/>
        <rFont val="Times New Roman Regular"/>
        <charset val="134"/>
      </rPr>
      <t xml:space="preserve">Information on genetic load in each individual in the </t>
    </r>
    <r>
      <rPr>
        <i/>
        <sz val="12"/>
        <color theme="1"/>
        <rFont val="Times New Roman Italic"/>
        <charset val="134"/>
      </rPr>
      <t xml:space="preserve">Begonia masoniana </t>
    </r>
    <r>
      <rPr>
        <sz val="12"/>
        <color theme="1"/>
        <rFont val="Times New Roman Regular"/>
        <charset val="134"/>
      </rPr>
      <t>complex.</t>
    </r>
  </si>
  <si>
    <t>Genetic load</t>
  </si>
  <si>
    <t xml:space="preserve">Homozygous mutations inside ROH/all Homozygous mutations </t>
  </si>
  <si>
    <t>Heterozygous tolerated/Synonymous</t>
  </si>
  <si>
    <t>Homozygous tolerated/Synonymous</t>
  </si>
  <si>
    <t>Heterozygous deleterious/Synonymous</t>
  </si>
  <si>
    <t>Homozygous  deleterious/Synonymous</t>
  </si>
  <si>
    <t>Heterozygous LOF/Synonymous</t>
  </si>
  <si>
    <t>Homozygous  LOF/Synonymous</t>
  </si>
  <si>
    <t>Note:Each type of mutation is divided by the total number of synonymous mutations in each category.</t>
  </si>
  <si>
    <r>
      <rPr>
        <b/>
        <sz val="12"/>
        <color theme="1"/>
        <rFont val="Times New Roman Regular"/>
        <charset val="134"/>
      </rPr>
      <t xml:space="preserve">Table S10 </t>
    </r>
    <r>
      <rPr>
        <sz val="12"/>
        <color theme="1"/>
        <rFont val="Times New Roman Regular"/>
        <charset val="134"/>
      </rPr>
      <t xml:space="preserve">Loss-of-function (LOF) type of relevant genes in homozygous mutation sites for the </t>
    </r>
    <r>
      <rPr>
        <i/>
        <sz val="12"/>
        <color theme="1"/>
        <rFont val="Times New Roman Italic"/>
        <charset val="134"/>
      </rPr>
      <t>Begonia masoniana</t>
    </r>
    <r>
      <rPr>
        <sz val="12"/>
        <color theme="1"/>
        <rFont val="Times New Roman Regular"/>
        <charset val="134"/>
      </rPr>
      <t xml:space="preserve"> complex.</t>
    </r>
  </si>
  <si>
    <t>Unigene</t>
  </si>
  <si>
    <t>Description</t>
  </si>
  <si>
    <t>Bma000182.2</t>
  </si>
  <si>
    <t xml:space="preserve">endoplasmic reticulum metallopeptidase 1 </t>
  </si>
  <si>
    <t>Bma000187.1</t>
  </si>
  <si>
    <t xml:space="preserve">pre-mRNA-splicing factor ATP-dependent RNA helicase PRP16  </t>
  </si>
  <si>
    <t>Bma000301.1</t>
  </si>
  <si>
    <t xml:space="preserve">unknown </t>
  </si>
  <si>
    <t>Bma000313.1</t>
  </si>
  <si>
    <t xml:space="preserve">nudix hydrolase 1 </t>
  </si>
  <si>
    <t>Bma000320.3</t>
  </si>
  <si>
    <t xml:space="preserve">uncharacterized protein LOC8269523 </t>
  </si>
  <si>
    <t>Bma000438.1</t>
  </si>
  <si>
    <t xml:space="preserve">putative flavin-containing monooxygenase 1  </t>
  </si>
  <si>
    <t>Bma000472.1</t>
  </si>
  <si>
    <t xml:space="preserve">monogalactosyldiacylglycerol synthase 2, chloroplastic-like isoform X1 </t>
  </si>
  <si>
    <t>Bma000473.1</t>
  </si>
  <si>
    <t xml:space="preserve">synaptotagmin-5-like  </t>
  </si>
  <si>
    <t>Bma000636.1</t>
  </si>
  <si>
    <t xml:space="preserve">probable kinetochore protein NUF2  </t>
  </si>
  <si>
    <t>Bma000817.1</t>
  </si>
  <si>
    <t xml:space="preserve">hypothetical protein EUTSA_v10023481mg  </t>
  </si>
  <si>
    <t>Bma000886.1</t>
  </si>
  <si>
    <t xml:space="preserve">transcription initiation factor TFIID subunit 4b-like isoform X2  </t>
  </si>
  <si>
    <t>Bma000988.2</t>
  </si>
  <si>
    <t xml:space="preserve">COP9 signalosome complex subunit 4  </t>
  </si>
  <si>
    <t>Bma001026.1</t>
  </si>
  <si>
    <t xml:space="preserve">probable L-ascorbate peroxidase 6, chloroplastic isoform X3  </t>
  </si>
  <si>
    <t>Bma001100.2</t>
  </si>
  <si>
    <t xml:space="preserve">chaperone protein dnaJ 10 </t>
  </si>
  <si>
    <t>Bma001150.3</t>
  </si>
  <si>
    <t xml:space="preserve">mitochondrial substrate carrier family protein P  </t>
  </si>
  <si>
    <t>Bma001345.1</t>
  </si>
  <si>
    <t xml:space="preserve">UDP-arabinopyranose mutase 3 </t>
  </si>
  <si>
    <t>Bma001422.1</t>
  </si>
  <si>
    <t xml:space="preserve">uncharacterized protein LOC107176019 </t>
  </si>
  <si>
    <t>Bma001439.1</t>
  </si>
  <si>
    <t xml:space="preserve">isocitrate dehydrogenase family protein  </t>
  </si>
  <si>
    <t>Bma001794.1</t>
  </si>
  <si>
    <t xml:space="preserve">WAT1-related protein At1g43650-like </t>
  </si>
  <si>
    <t>Bma001965.1</t>
  </si>
  <si>
    <t xml:space="preserve">uncharacterized protein LOC103446118  </t>
  </si>
  <si>
    <t>Bma002307.1</t>
  </si>
  <si>
    <t xml:space="preserve">Saposin B domain-containing protein, putative isoform 1  </t>
  </si>
  <si>
    <t>Bma002617.1</t>
  </si>
  <si>
    <t>cofilin</t>
  </si>
  <si>
    <t>Bma002765.2</t>
  </si>
  <si>
    <t xml:space="preserve">L-aminoadipate-semialdehyde dehydrogenase-phosphopantetheinyl transferase isoform X3 </t>
  </si>
  <si>
    <t>Bma002995.1</t>
  </si>
  <si>
    <t xml:space="preserve">cyclin-A2-2-like  </t>
  </si>
  <si>
    <t>Bma003001.2</t>
  </si>
  <si>
    <t xml:space="preserve">carbon catabolite repressor protein 4 homolog 6 isoform X2  </t>
  </si>
  <si>
    <t>Bma003200.1</t>
  </si>
  <si>
    <t xml:space="preserve">jasmonate O-methyltransferase  </t>
  </si>
  <si>
    <t>Bma003229.1</t>
  </si>
  <si>
    <t xml:space="preserve">auxin response factor 5 isoform X2  </t>
  </si>
  <si>
    <t>Bma003243.1</t>
  </si>
  <si>
    <t xml:space="preserve">uncharacterized protein LOC100241980 isoform X2  </t>
  </si>
  <si>
    <t>Bma003254.1</t>
  </si>
  <si>
    <t xml:space="preserve">subtilisin-like protease </t>
  </si>
  <si>
    <t>Bma003275.1</t>
  </si>
  <si>
    <t xml:space="preserve">probable flavin-containing monooxygenase 1 isoform X1 </t>
  </si>
  <si>
    <t>Bma003295.1</t>
  </si>
  <si>
    <t xml:space="preserve">pyrophosphate--fructose 6-phosphate 1-phosphotransferase subunit alpha  </t>
  </si>
  <si>
    <t>Bma003308.1</t>
  </si>
  <si>
    <t xml:space="preserve">hypothetical protein POPTR_0005s14650g  </t>
  </si>
  <si>
    <t>Bma003355.1</t>
  </si>
  <si>
    <t xml:space="preserve">hydroxypyruvate reductase-like isoform X4  </t>
  </si>
  <si>
    <t>Bma003437.1</t>
  </si>
  <si>
    <t>protein NRT1</t>
  </si>
  <si>
    <t>Bma003444.1</t>
  </si>
  <si>
    <t xml:space="preserve">protein SAWADEE HOMEODOMAIN HOMOLOG 1-like isoform X2 </t>
  </si>
  <si>
    <t>Bma003532.1</t>
  </si>
  <si>
    <t xml:space="preserve">WAT1-related protein At1g21890-like  </t>
  </si>
  <si>
    <t>Bma003541.1</t>
  </si>
  <si>
    <t xml:space="preserve">uncharacterized protein LOC103944370 isoform X2 </t>
  </si>
  <si>
    <t>Bma003544.1</t>
  </si>
  <si>
    <t xml:space="preserve">transcription elongation factor SPT6 isoform X1 </t>
  </si>
  <si>
    <t>Bma003570.1</t>
  </si>
  <si>
    <t xml:space="preserve">spermidine hydroxycinnamoyl transferase </t>
  </si>
  <si>
    <t>Bma003605.2</t>
  </si>
  <si>
    <t xml:space="preserve">uncharacterized protein LOC103486805 </t>
  </si>
  <si>
    <t>Bma003699.1</t>
  </si>
  <si>
    <t xml:space="preserve">zinc-regulated protein 8-like  </t>
  </si>
  <si>
    <t>Bma003726.1</t>
  </si>
  <si>
    <t>alpha</t>
  </si>
  <si>
    <t>Bma003755.1</t>
  </si>
  <si>
    <t xml:space="preserve">ATP-dependent RNA helicase DHX36 isoform X1 </t>
  </si>
  <si>
    <t>Bma003764.1</t>
  </si>
  <si>
    <t xml:space="preserve">ABC transporter family protein  </t>
  </si>
  <si>
    <t>Bma003824.1</t>
  </si>
  <si>
    <t xml:space="preserve">LOW QUALITY PROTEIN: DNA-directed RNA polymerase I subunit rpa1 </t>
  </si>
  <si>
    <t>Bma003853.1</t>
  </si>
  <si>
    <t xml:space="preserve">uncharacterized protein LOC101206282  </t>
  </si>
  <si>
    <t>Bma003870.2</t>
  </si>
  <si>
    <t xml:space="preserve">CDPK-related kinase 7-like </t>
  </si>
  <si>
    <t>Bma003875.2</t>
  </si>
  <si>
    <t xml:space="preserve">uncharacterized protein LOC100267048  </t>
  </si>
  <si>
    <t>Bma003965.1</t>
  </si>
  <si>
    <t xml:space="preserve">auxin transporter-like protein 2  </t>
  </si>
  <si>
    <t>Bma003976.1</t>
  </si>
  <si>
    <t xml:space="preserve">uncharacterized protein LOC103341775 </t>
  </si>
  <si>
    <t>Bma003992.1</t>
  </si>
  <si>
    <t>F-box</t>
  </si>
  <si>
    <t>Bma004001.1</t>
  </si>
  <si>
    <t xml:space="preserve">Transmembrane protein 87B  </t>
  </si>
  <si>
    <t>Bma004011.1</t>
  </si>
  <si>
    <t xml:space="preserve">Myb domain protein 107  </t>
  </si>
  <si>
    <t>Bma004068.1</t>
  </si>
  <si>
    <t xml:space="preserve">hypothetical protein CICLE_v10019292mg  </t>
  </si>
  <si>
    <t>Bma004143.1</t>
  </si>
  <si>
    <t xml:space="preserve">uncharacterized protein LOC100264016 isoform X2 </t>
  </si>
  <si>
    <t>Bma004207.1</t>
  </si>
  <si>
    <t xml:space="preserve">hypothetical protein CICLE_v10007271mg  </t>
  </si>
  <si>
    <t>Bma004255.1</t>
  </si>
  <si>
    <t>GDSL esterase</t>
  </si>
  <si>
    <t>Bma004284.1</t>
  </si>
  <si>
    <t xml:space="preserve">vacuolar protein sorting-associated protein VTA1 homolog </t>
  </si>
  <si>
    <t>Bma004293.1</t>
  </si>
  <si>
    <t xml:space="preserve">kinesin-like protein KIN12B </t>
  </si>
  <si>
    <t>Bma004365.1</t>
  </si>
  <si>
    <t xml:space="preserve">actin-related protein 8  </t>
  </si>
  <si>
    <t>Bma004432.1</t>
  </si>
  <si>
    <t xml:space="preserve">phosphatidylcholine transfer protein-like isoform X1 </t>
  </si>
  <si>
    <t>Bma004471.1</t>
  </si>
  <si>
    <t xml:space="preserve">17.4 kDa class III heat shock protein-like  </t>
  </si>
  <si>
    <t>Bma004519.1</t>
  </si>
  <si>
    <t>Bma004624.2</t>
  </si>
  <si>
    <t xml:space="preserve">formamidopyrimidine-DNA glycosylase isoform X1  </t>
  </si>
  <si>
    <t>Bma004629.1</t>
  </si>
  <si>
    <t xml:space="preserve">hypothetical protein PRUPE_ppa000478mg  </t>
  </si>
  <si>
    <t>Bma004659.1</t>
  </si>
  <si>
    <t xml:space="preserve">Eukaryotic translation initiation factor 3 subunit B </t>
  </si>
  <si>
    <t>Bma004661.1</t>
  </si>
  <si>
    <t xml:space="preserve">hypothetical protein B456_001G241400 </t>
  </si>
  <si>
    <t>Bma004743.1</t>
  </si>
  <si>
    <t xml:space="preserve">uncharacterized vacuolar membrane protein YML018C isoform X2 </t>
  </si>
  <si>
    <t>Bma004754.3</t>
  </si>
  <si>
    <t xml:space="preserve">4-hydroxybenzoate polyprenyltransferase, mitochondrial-like  </t>
  </si>
  <si>
    <t>Bma004909.1</t>
  </si>
  <si>
    <t xml:space="preserve">uncharacterized protein LOC106437302, partial </t>
  </si>
  <si>
    <t>Bma005203.1</t>
  </si>
  <si>
    <t>LRR receptor-like serine</t>
  </si>
  <si>
    <t>Bma005653.1</t>
  </si>
  <si>
    <t xml:space="preserve">cell division cycle protein 48 homolog </t>
  </si>
  <si>
    <t>Bma005677.1</t>
  </si>
  <si>
    <t xml:space="preserve">uncharacterized protein LOC101216824  </t>
  </si>
  <si>
    <t>Bma005679.1</t>
  </si>
  <si>
    <t xml:space="preserve">Adaptor protein complex AP-2, alpha subunit isoform 1  </t>
  </si>
  <si>
    <t>Bma005736.1</t>
  </si>
  <si>
    <t xml:space="preserve">linoleate 13S-lipoxygenase 2-1, chloroplastic  </t>
  </si>
  <si>
    <t>Bma005742.1</t>
  </si>
  <si>
    <t xml:space="preserve">Glycosyl hydrolase of Uncharacterized protein function (DUF1680), putative isoform 2  </t>
  </si>
  <si>
    <t>Bma005844.1</t>
  </si>
  <si>
    <t xml:space="preserve">glucose-induced degradation protein 8 homolog isoform X2  </t>
  </si>
  <si>
    <t>Bma006899.1</t>
  </si>
  <si>
    <t xml:space="preserve">magnesium transporter NIPA2-like isoform X1 </t>
  </si>
  <si>
    <t>Bma006914.4</t>
  </si>
  <si>
    <t xml:space="preserve">probable leucine-rich repeat receptor-like protein kinase At5g49770 </t>
  </si>
  <si>
    <t>Bma006977.1</t>
  </si>
  <si>
    <t xml:space="preserve">DNA-directed RNA polymerase IV subunit 1 isoform X1  </t>
  </si>
  <si>
    <t>Bma007045.3</t>
  </si>
  <si>
    <t xml:space="preserve">oxysterol-binding protein-related protein 2A isoform X1 </t>
  </si>
  <si>
    <t>Bma007083.1</t>
  </si>
  <si>
    <t xml:space="preserve">poly(U)-specific endoribonuclease-B isoform X4 </t>
  </si>
  <si>
    <t>Bma007100.1</t>
  </si>
  <si>
    <t xml:space="preserve">uncharacterized protein LOC103336969 </t>
  </si>
  <si>
    <t>Bma007117.1</t>
  </si>
  <si>
    <t xml:space="preserve">probable methyltransferase PMT14  </t>
  </si>
  <si>
    <t>Bma007131.1</t>
  </si>
  <si>
    <t xml:space="preserve">hypothetical protein B456_004G181500 </t>
  </si>
  <si>
    <t>Bma007179.2</t>
  </si>
  <si>
    <t>BTB</t>
  </si>
  <si>
    <t>Bma007185.1</t>
  </si>
  <si>
    <t xml:space="preserve">hypothetical protein Ccrd_009698 </t>
  </si>
  <si>
    <t>Bma007187.1</t>
  </si>
  <si>
    <t xml:space="preserve">nucleobase-ascorbate transporter 4 </t>
  </si>
  <si>
    <t>Bma007236.1</t>
  </si>
  <si>
    <t xml:space="preserve">uncharacterized protein LOC103335797 </t>
  </si>
  <si>
    <t>Bma007303.1</t>
  </si>
  <si>
    <t xml:space="preserve">polyadenylate-binding protein 2-like isoform X4 </t>
  </si>
  <si>
    <t>Bma007318.1</t>
  </si>
  <si>
    <t>Bma007365.1</t>
  </si>
  <si>
    <t xml:space="preserve">agamous-like MADS-box protein AGL62 </t>
  </si>
  <si>
    <t>Bma007951.1</t>
  </si>
  <si>
    <t xml:space="preserve">uncharacterized protein LOC105795806 </t>
  </si>
  <si>
    <t>Bma007975.1</t>
  </si>
  <si>
    <t>serine</t>
  </si>
  <si>
    <t>Bma007982.1</t>
  </si>
  <si>
    <t xml:space="preserve">uncharacterized protein LOC103329684 </t>
  </si>
  <si>
    <t>Bma008018.1</t>
  </si>
  <si>
    <t xml:space="preserve">Frataxin family protein  </t>
  </si>
  <si>
    <t>Bma008209.1</t>
  </si>
  <si>
    <t xml:space="preserve">alpha-1,3-mannosyl-glycoprotein 2-beta-N-acetylglucosaminyltransferase  </t>
  </si>
  <si>
    <t>Bma008306.1</t>
  </si>
  <si>
    <t xml:space="preserve">Replication factor A protein 1  </t>
  </si>
  <si>
    <t>Bma008308.1</t>
  </si>
  <si>
    <t xml:space="preserve">phosphoserine phosphatase, chloroplastic  </t>
  </si>
  <si>
    <t>Bma008309.1</t>
  </si>
  <si>
    <t xml:space="preserve">ATP synthase subunit gamma, mitochondrial </t>
  </si>
  <si>
    <t>Bma008443.1</t>
  </si>
  <si>
    <t xml:space="preserve">E3 ubiquitin-protein ligase ORTHRUS 2-like  </t>
  </si>
  <si>
    <t>Bma008489.1</t>
  </si>
  <si>
    <t xml:space="preserve">unnamed protein product </t>
  </si>
  <si>
    <t>Bma008527.1</t>
  </si>
  <si>
    <t xml:space="preserve">hypothetical protein Csa_5G141170 </t>
  </si>
  <si>
    <t>Bma008551.1</t>
  </si>
  <si>
    <t>ATP-dependent zinc metalloprotease FTSH 11, chloroplastic</t>
  </si>
  <si>
    <t>Bma008608.1</t>
  </si>
  <si>
    <t xml:space="preserve">Auxin efflux facilitator isoform 1  </t>
  </si>
  <si>
    <t>Bma008640.1</t>
  </si>
  <si>
    <t xml:space="preserve">hypothetical protein GLYMA_09G169400 </t>
  </si>
  <si>
    <t>Bma008645.1</t>
  </si>
  <si>
    <t xml:space="preserve">extra-large guanine nucleotide-binding protein 3-like isoform X1 </t>
  </si>
  <si>
    <t>Bma008780.1</t>
  </si>
  <si>
    <t xml:space="preserve">nodal modulator 1 </t>
  </si>
  <si>
    <t>Bma008821.1</t>
  </si>
  <si>
    <t xml:space="preserve">DNA topoisomerase 2 </t>
  </si>
  <si>
    <t>Bma008830.1</t>
  </si>
  <si>
    <t xml:space="preserve">BnaC04g48000D  </t>
  </si>
  <si>
    <t>Bma009002.1</t>
  </si>
  <si>
    <t xml:space="preserve">probable acyl-activating enzyme 6  </t>
  </si>
  <si>
    <t>Bma009015.1</t>
  </si>
  <si>
    <t xml:space="preserve">general transcription factor 3C polypeptide 5 isoform X1  </t>
  </si>
  <si>
    <t>Bma009016.1</t>
  </si>
  <si>
    <t xml:space="preserve">uncharacterized protein LOC105851134, partial </t>
  </si>
  <si>
    <t>Bma009063.1</t>
  </si>
  <si>
    <t xml:space="preserve">U-box domain-containing protein 9  </t>
  </si>
  <si>
    <t>Bma009124.1</t>
  </si>
  <si>
    <t xml:space="preserve">uncharacterized protein LOC105107279  </t>
  </si>
  <si>
    <t>Bma009425.1</t>
  </si>
  <si>
    <t xml:space="preserve">MADS-domain protein, putative  </t>
  </si>
  <si>
    <t>Bma009623.1</t>
  </si>
  <si>
    <t xml:space="preserve">LEUNIG family protein  </t>
  </si>
  <si>
    <t>Bma009645.1</t>
  </si>
  <si>
    <t xml:space="preserve">phospholipid--sterol O-acyltransferase-like isoform X2 </t>
  </si>
  <si>
    <t>Bma009674.1</t>
  </si>
  <si>
    <t xml:space="preserve">hypothetical protein L484_015172  </t>
  </si>
  <si>
    <t>Bma009834.1</t>
  </si>
  <si>
    <t xml:space="preserve">homeobox-leucine zipper protein GLABRA 2 </t>
  </si>
  <si>
    <t>Bma009879.1</t>
  </si>
  <si>
    <t xml:space="preserve">uncharacterized protein LOC105173304 </t>
  </si>
  <si>
    <t>Bma010068.1</t>
  </si>
  <si>
    <t xml:space="preserve">hypothetical protein PHAVU_011G143300g  </t>
  </si>
  <si>
    <t>Bma010076.1</t>
  </si>
  <si>
    <t>Bma010105.1</t>
  </si>
  <si>
    <t xml:space="preserve">LRR and NB-ARC domains-containing disease resistance protein, putative  </t>
  </si>
  <si>
    <t>Bma010169.1</t>
  </si>
  <si>
    <t>DNA polymerase I B, chloroplastic</t>
  </si>
  <si>
    <t>Bma010194.1</t>
  </si>
  <si>
    <t xml:space="preserve">cell differentiation protein RCD1 homolog isoform X1  </t>
  </si>
  <si>
    <t>Bma010215.2</t>
  </si>
  <si>
    <t xml:space="preserve">grpE protein homolog, mitochondrial isoform X1 </t>
  </si>
  <si>
    <t>Bma010280.1</t>
  </si>
  <si>
    <t xml:space="preserve">COP9 signalosome complex subunit 6a </t>
  </si>
  <si>
    <t>Bma010320.1</t>
  </si>
  <si>
    <t xml:space="preserve">metal tolerance protein C4  </t>
  </si>
  <si>
    <t>Bma010340.1</t>
  </si>
  <si>
    <t>Bma010375.1</t>
  </si>
  <si>
    <t xml:space="preserve">hypothetical protein PRUPE_ppa001759mg  </t>
  </si>
  <si>
    <t>Bma010525.1</t>
  </si>
  <si>
    <t xml:space="preserve">hypothetical protein CICLE_v10020047mg  </t>
  </si>
  <si>
    <t>Bma010602.1</t>
  </si>
  <si>
    <t xml:space="preserve">TT12-2 MATE transporter  </t>
  </si>
  <si>
    <t>Bma010616.1</t>
  </si>
  <si>
    <t xml:space="preserve">hypothetical protein PRUPE_ppa004957mg  </t>
  </si>
  <si>
    <t>Bma010679.1</t>
  </si>
  <si>
    <t xml:space="preserve">phosphoenolpyruvate carboxylase, housekeeping isozyme </t>
  </si>
  <si>
    <t>Bma010760.1</t>
  </si>
  <si>
    <t xml:space="preserve">heat shock 70 kDa protein 16-like isoform X1 </t>
  </si>
  <si>
    <t>Bma010893.1</t>
  </si>
  <si>
    <t xml:space="preserve">classical arabinogalactan protein 10-like  </t>
  </si>
  <si>
    <t>Bma010948.1</t>
  </si>
  <si>
    <t xml:space="preserve">protein TOC75-3, chloroplastic </t>
  </si>
  <si>
    <t>Bma010992.1</t>
  </si>
  <si>
    <t>cation</t>
  </si>
  <si>
    <t>Bma011036.1</t>
  </si>
  <si>
    <t xml:space="preserve">monodehydroascorbate reductase, chloroplastic isoform X2 </t>
  </si>
  <si>
    <t>Bma011162.1</t>
  </si>
  <si>
    <t xml:space="preserve">beta-glucosidase 13-like  </t>
  </si>
  <si>
    <t>Bma011298.2</t>
  </si>
  <si>
    <t xml:space="preserve">WAT1-related protein At4g19185-like  </t>
  </si>
  <si>
    <t>Bma011329.1</t>
  </si>
  <si>
    <t xml:space="preserve">uncharacterized protein LOC105650086 </t>
  </si>
  <si>
    <t>Bma011330.1</t>
  </si>
  <si>
    <t xml:space="preserve">hypothetical protein L484_012859  </t>
  </si>
  <si>
    <t>Bma011341.2</t>
  </si>
  <si>
    <t xml:space="preserve">eukaryotic translation initiation factor 3 subunit I  </t>
  </si>
  <si>
    <t>Bma011372.1</t>
  </si>
  <si>
    <t xml:space="preserve">probable lysine-specific demethylase JMJ14  </t>
  </si>
  <si>
    <t>Bma011388.2</t>
  </si>
  <si>
    <t xml:space="preserve">Transcription initiation factor IIF subunit alpha  </t>
  </si>
  <si>
    <t>Bma011475.1</t>
  </si>
  <si>
    <t xml:space="preserve">putative Ty1-copia-like retrotransposon </t>
  </si>
  <si>
    <t>Bma011563.2</t>
  </si>
  <si>
    <t xml:space="preserve">developmental protein SEPALLATA 1-like </t>
  </si>
  <si>
    <t>Bma011609.1</t>
  </si>
  <si>
    <t xml:space="preserve">HEAT repeat-containing protein 5A-like isoform X1 </t>
  </si>
  <si>
    <t>Bma011616.1</t>
  </si>
  <si>
    <t xml:space="preserve">dihydroflavonol-4-reductase </t>
  </si>
  <si>
    <t>Bma011780.1</t>
  </si>
  <si>
    <t>Bma011840.1</t>
  </si>
  <si>
    <t xml:space="preserve">hypothetical protein POPTR_0014s15590g  </t>
  </si>
  <si>
    <t>Bma011928.1</t>
  </si>
  <si>
    <t xml:space="preserve">hypothetical protein PRUPE_ppa025571mg  </t>
  </si>
  <si>
    <t>Bma011969.2</t>
  </si>
  <si>
    <t xml:space="preserve">uncharacterized protein LOC103344648 isoform X3 </t>
  </si>
  <si>
    <t>Bma012048.1</t>
  </si>
  <si>
    <t xml:space="preserve">fidgetin-like protein 1 </t>
  </si>
  <si>
    <t>Bma012161.1</t>
  </si>
  <si>
    <t xml:space="preserve">protease Do-like 1, chloroplastic isoform X1 </t>
  </si>
  <si>
    <t>Bma012310.1</t>
  </si>
  <si>
    <t xml:space="preserve">cyclic nucleotide-gated ion channel 1-like </t>
  </si>
  <si>
    <t>Bma012449.1</t>
  </si>
  <si>
    <t xml:space="preserve">hypothetical protein Csa_5G608520 </t>
  </si>
  <si>
    <t>Bma012539.1</t>
  </si>
  <si>
    <t xml:space="preserve">hypothetical protein PHAVU_002G154500g  </t>
  </si>
  <si>
    <t>Bma012571.1</t>
  </si>
  <si>
    <t xml:space="preserve">RNA-binding CRS1 </t>
  </si>
  <si>
    <t>Bma012629.1</t>
  </si>
  <si>
    <t xml:space="preserve">abhydrolase domain-containing protein 3 </t>
  </si>
  <si>
    <t>Bma012634.1</t>
  </si>
  <si>
    <t xml:space="preserve">LOW QUALITY PROTEIN: cleavage and polyadenylation specificity factor subunit 3-I-like </t>
  </si>
  <si>
    <t>Bma012653.1</t>
  </si>
  <si>
    <t xml:space="preserve">hypothetical protein PRUPE_ppa010492mg  </t>
  </si>
  <si>
    <t>Bma012663.2</t>
  </si>
  <si>
    <t xml:space="preserve">putative ABC transporter C family member 15  </t>
  </si>
  <si>
    <t>Bma012810.5</t>
  </si>
  <si>
    <t xml:space="preserve">cyclic nucleotide-gated ion channel 1-like isoform X1  </t>
  </si>
  <si>
    <t>Bma012816.2</t>
  </si>
  <si>
    <t>Bma012873.1</t>
  </si>
  <si>
    <t xml:space="preserve">uncharacterized protein LOC103323666 </t>
  </si>
  <si>
    <t>Bma012933.1</t>
  </si>
  <si>
    <t xml:space="preserve">conserved oligomeric Golgi complex subunit 7  </t>
  </si>
  <si>
    <t>Bma013078.1</t>
  </si>
  <si>
    <t xml:space="preserve">Proline-rich receptor-like protein kinase PERK9  </t>
  </si>
  <si>
    <t>Bma013079.1</t>
  </si>
  <si>
    <t xml:space="preserve">putative phospholipid-transporting ATPase 9  </t>
  </si>
  <si>
    <t>Bma013117.3</t>
  </si>
  <si>
    <t xml:space="preserve">pentatricopeptide repeat-containing protein At2g03380, mitochondrial  </t>
  </si>
  <si>
    <t>Bma013194.1</t>
  </si>
  <si>
    <t xml:space="preserve">probable beta-1,3-galactosyltransferase 19  </t>
  </si>
  <si>
    <t>Bma013205.1</t>
  </si>
  <si>
    <t xml:space="preserve">uncharacterized protein LOC100243914  </t>
  </si>
  <si>
    <t>Bma013218.1</t>
  </si>
  <si>
    <t>TCP-1</t>
  </si>
  <si>
    <t>Bma013220.1</t>
  </si>
  <si>
    <t xml:space="preserve">mannosyl-oligosaccharide glucosidase GCS1  </t>
  </si>
  <si>
    <t>Bma013240.1</t>
  </si>
  <si>
    <t>Bma013325.1</t>
  </si>
  <si>
    <t xml:space="preserve">Basic helix-loop-helix DNA-binding superfamily protein, putative isoform 2  </t>
  </si>
  <si>
    <t>Bma013358.1</t>
  </si>
  <si>
    <t xml:space="preserve">Translation initiation factor 3B1 isoform 1  </t>
  </si>
  <si>
    <t>Bma013400.2</t>
  </si>
  <si>
    <t xml:space="preserve">26S proteasome regulatory complex protein  </t>
  </si>
  <si>
    <t>Bma013461.1</t>
  </si>
  <si>
    <t xml:space="preserve">vacuolar protein sorting-associated protein 51 homolog isoform X1 </t>
  </si>
  <si>
    <t>Bma013654.1</t>
  </si>
  <si>
    <t xml:space="preserve">uncharacterized protein LOC101210214 isoform X3 </t>
  </si>
  <si>
    <t>Bma013672.1</t>
  </si>
  <si>
    <t>Bma013761.1</t>
  </si>
  <si>
    <t>Bma013850.1</t>
  </si>
  <si>
    <t xml:space="preserve">DNA topoisomerase 3-alpha isoform X1  </t>
  </si>
  <si>
    <t>Bma013869.2</t>
  </si>
  <si>
    <t>Serine</t>
  </si>
  <si>
    <t>Bma013951.1</t>
  </si>
  <si>
    <t xml:space="preserve">tRNA(His) guanylyltransferase 1-like  </t>
  </si>
  <si>
    <t>Bma014273.2</t>
  </si>
  <si>
    <t xml:space="preserve">hypothetical protein L484_003633  </t>
  </si>
  <si>
    <t>Bma014346.1</t>
  </si>
  <si>
    <t xml:space="preserve">uncharacterized protein LOC105648812 isoform X1 </t>
  </si>
  <si>
    <t>Bma014423.1</t>
  </si>
  <si>
    <t xml:space="preserve">transcription factor RAX3  </t>
  </si>
  <si>
    <t>Bma014618.1</t>
  </si>
  <si>
    <t xml:space="preserve">hypothetical protein CISIN_1g047916mg, partial </t>
  </si>
  <si>
    <t>Bma014644.1</t>
  </si>
  <si>
    <t xml:space="preserve">xylem serine proteinase 1 </t>
  </si>
  <si>
    <t>Bma014917.1</t>
  </si>
  <si>
    <t xml:space="preserve">probable mitochondrial saccharopine dehydrogenase-like oxidoreductase At5g39410 isoform X1  </t>
  </si>
  <si>
    <t>Bma014965.1</t>
  </si>
  <si>
    <t xml:space="preserve">60S ribosomal protein L7a-2-like isoform X1  </t>
  </si>
  <si>
    <t>Bma014989.2</t>
  </si>
  <si>
    <t xml:space="preserve">hypothetical protein CICLE_v10011939mg  </t>
  </si>
  <si>
    <t>Bma014991.1</t>
  </si>
  <si>
    <t xml:space="preserve">methionyl-tRNA formyltransferase, mitochondrial </t>
  </si>
  <si>
    <t>Bma015065.2</t>
  </si>
  <si>
    <t xml:space="preserve">hypothetical protein PRUPE_ppa000188mg  </t>
  </si>
  <si>
    <t>Bma015095.1</t>
  </si>
  <si>
    <t xml:space="preserve">ALA-interacting subunit 5-like </t>
  </si>
  <si>
    <t>Bma015106.1</t>
  </si>
  <si>
    <t xml:space="preserve">hypothetical protein Csa_3G308200 </t>
  </si>
  <si>
    <t>Bma015107.1</t>
  </si>
  <si>
    <t xml:space="preserve">DNA binding,ATP binding,nucleic acid bindin isoform 1  </t>
  </si>
  <si>
    <t>Bma015122.3</t>
  </si>
  <si>
    <t xml:space="preserve">uncharacterized protein LOC103318837 </t>
  </si>
  <si>
    <t>Bma015134.1</t>
  </si>
  <si>
    <t xml:space="preserve">phospholipase A(1) LCAT3 </t>
  </si>
  <si>
    <t>Bma015226.2</t>
  </si>
  <si>
    <t xml:space="preserve">V-type proton ATPase subunit C  </t>
  </si>
  <si>
    <t>Bma015257.1</t>
  </si>
  <si>
    <t xml:space="preserve">uncharacterized protein LOC103330418 </t>
  </si>
  <si>
    <t>Bma015307.1</t>
  </si>
  <si>
    <t xml:space="preserve">molybdate-anion transporter isoform X1  </t>
  </si>
  <si>
    <t>Bma015498.1</t>
  </si>
  <si>
    <t xml:space="preserve">hypothetical protein PRUPE_ppa005419mg  </t>
  </si>
  <si>
    <t>Bma015600.1</t>
  </si>
  <si>
    <t xml:space="preserve">SART-1 family protein DOT2  </t>
  </si>
  <si>
    <t>Bma015676.1</t>
  </si>
  <si>
    <t xml:space="preserve">universal stress protein </t>
  </si>
  <si>
    <t>Bma015705.1</t>
  </si>
  <si>
    <t xml:space="preserve">MYB transcription factor </t>
  </si>
  <si>
    <t>Bma015796.1</t>
  </si>
  <si>
    <t xml:space="preserve">hypothetical protein CISIN_1g028736mg </t>
  </si>
  <si>
    <t>Bma015799.2</t>
  </si>
  <si>
    <t xml:space="preserve">uncharacterized protein LOC101203725 isoform X2 </t>
  </si>
  <si>
    <t>Bma016005.1</t>
  </si>
  <si>
    <t xml:space="preserve">transcription initiation factor TFIID subunit 3 isoform X1 </t>
  </si>
  <si>
    <t>Bma016013.1</t>
  </si>
  <si>
    <t xml:space="preserve">hypothetical protein L484_023870  </t>
  </si>
  <si>
    <t>Bma016104.1</t>
  </si>
  <si>
    <t xml:space="preserve">NAC domain-containing protein 69-like isoform X1 </t>
  </si>
  <si>
    <t>Bma016138.1</t>
  </si>
  <si>
    <t xml:space="preserve">Premnaspirodiene oxygenase  </t>
  </si>
  <si>
    <t>Bma016168.1</t>
  </si>
  <si>
    <t xml:space="preserve">transcription factor CPC-like </t>
  </si>
  <si>
    <t>Bma016251.1</t>
  </si>
  <si>
    <t>Pmr5</t>
  </si>
  <si>
    <t>Bma016261.1</t>
  </si>
  <si>
    <t xml:space="preserve">vacuolar protein sorting-associated protein 29  </t>
  </si>
  <si>
    <t>Bma016370.2</t>
  </si>
  <si>
    <t xml:space="preserve">pseudo-response regulator 7 </t>
  </si>
  <si>
    <t>Bma016378.2</t>
  </si>
  <si>
    <t xml:space="preserve">CAP-Gly domain-containing linker protein 1 </t>
  </si>
  <si>
    <t>Bma016459.2</t>
  </si>
  <si>
    <t xml:space="preserve">expansin-A4-like precursor  </t>
  </si>
  <si>
    <t>Bma016467.8</t>
  </si>
  <si>
    <t xml:space="preserve">uncharacterized aarF domain-containing protein kinase At5g05200, chloroplastic  </t>
  </si>
  <si>
    <t>Bma016543.1</t>
  </si>
  <si>
    <t xml:space="preserve">60S ribosomal L35a-3 -like protein </t>
  </si>
  <si>
    <t>Bma016597.1</t>
  </si>
  <si>
    <t xml:space="preserve">TBC1 domain family member 8B  </t>
  </si>
  <si>
    <t>Bma016704.1</t>
  </si>
  <si>
    <t xml:space="preserve">NADPH:QUINONE OXIDOREDUCTASE family protein  </t>
  </si>
  <si>
    <t>Bma016761.1</t>
  </si>
  <si>
    <t xml:space="preserve">pyruvate kinase, cytosolic isozyme  </t>
  </si>
  <si>
    <t>Bma016821.1</t>
  </si>
  <si>
    <t xml:space="preserve">phospholipase A-2-activating protein-like  </t>
  </si>
  <si>
    <t>Bma017007.1</t>
  </si>
  <si>
    <t xml:space="preserve">hypothetical protein CISIN_1g010842mg </t>
  </si>
  <si>
    <t>Bma017008.1</t>
  </si>
  <si>
    <t xml:space="preserve">uncharacterized GPI-anchored protein At4g28100-like  </t>
  </si>
  <si>
    <t>Bma017031.1</t>
  </si>
  <si>
    <t xml:space="preserve">hypothetical protein CICLE_v10014388mg  </t>
  </si>
  <si>
    <t>Bma017091.1</t>
  </si>
  <si>
    <t xml:space="preserve">hypothetical protein L484_016898  </t>
  </si>
  <si>
    <t>Bma017209.1</t>
  </si>
  <si>
    <t xml:space="preserve">hypothetical protein PRUPE_ppa010131mg  </t>
  </si>
  <si>
    <t>Bma017353.1</t>
  </si>
  <si>
    <t xml:space="preserve">succinate dehydrogenase  iron-sulfur subunit 3, mitochondrial  </t>
  </si>
  <si>
    <t>Bma017388.2</t>
  </si>
  <si>
    <t xml:space="preserve">WD repeat-containing protein 44  </t>
  </si>
  <si>
    <t>Bma018560.1</t>
  </si>
  <si>
    <t xml:space="preserve">hypothetical protein PRUPE_ppa004414mg  </t>
  </si>
  <si>
    <t>Bma018599.1</t>
  </si>
  <si>
    <t xml:space="preserve">Mannose-P-dolichol utilization defect 1 protein isoform 1  </t>
  </si>
  <si>
    <t>Bma018607.1</t>
  </si>
  <si>
    <t xml:space="preserve">Mono- and diacylglycerol lipase </t>
  </si>
  <si>
    <t>Bma018627.1</t>
  </si>
  <si>
    <t xml:space="preserve">hypothetical protein L484_014453  </t>
  </si>
  <si>
    <t>Bma018655.1</t>
  </si>
  <si>
    <t xml:space="preserve">uncharacterized protein LOC105633775 </t>
  </si>
  <si>
    <t>Bma018693.1</t>
  </si>
  <si>
    <t>Bma018740.4</t>
  </si>
  <si>
    <t>Bma018881.1</t>
  </si>
  <si>
    <t xml:space="preserve">uncharacterized protein LOC101783094 isoform X2 </t>
  </si>
  <si>
    <t>Bma018898.1</t>
  </si>
  <si>
    <t xml:space="preserve">RAB geranylgeranyl transferase alpha subunit 1, putative isoform 1  </t>
  </si>
  <si>
    <t>Bma018948.1</t>
  </si>
  <si>
    <t>Bma018956.1</t>
  </si>
  <si>
    <t xml:space="preserve">N-acetyltransferases,N-acetyltransferases, putative isoform 2  </t>
  </si>
  <si>
    <t>Bma018981.1</t>
  </si>
  <si>
    <t xml:space="preserve">transcription initiation factor TFIID subunit 8-like </t>
  </si>
  <si>
    <t>Bma019031.1</t>
  </si>
  <si>
    <t xml:space="preserve">beta-galactosidase 15-like </t>
  </si>
  <si>
    <t>Bma019043.1</t>
  </si>
  <si>
    <t xml:space="preserve">Ribosomal protein L21  </t>
  </si>
  <si>
    <t>Bma019120.1</t>
  </si>
  <si>
    <t xml:space="preserve">uncharacterized protein LOC100263058  </t>
  </si>
  <si>
    <t>Bma019319.1</t>
  </si>
  <si>
    <t xml:space="preserve">protein phosphatase 2C 70 isoform X2 </t>
  </si>
  <si>
    <t>Bma019343.2</t>
  </si>
  <si>
    <t xml:space="preserve">alcohol dehydrogenase  </t>
  </si>
  <si>
    <t>Bma019395.1</t>
  </si>
  <si>
    <t xml:space="preserve">calmodulin-binding transcription activator 4 isoform X2 </t>
  </si>
  <si>
    <t>Bma019516.1</t>
  </si>
  <si>
    <t xml:space="preserve">probable inactive purple acid phosphatase 29 </t>
  </si>
  <si>
    <t>Bma019540.1</t>
  </si>
  <si>
    <t xml:space="preserve">uncharacterized protein LOC107175649 </t>
  </si>
  <si>
    <t>Bma019774.1</t>
  </si>
  <si>
    <t xml:space="preserve">uncharacterized protein LOC103497878 </t>
  </si>
  <si>
    <t>Bma020125.1</t>
  </si>
  <si>
    <t>Laccase</t>
  </si>
  <si>
    <t>Bma020375.1</t>
  </si>
  <si>
    <t xml:space="preserve">DNA-directed RNA polymerase V subunit 5A-like  </t>
  </si>
  <si>
    <t>Bma020454.1</t>
  </si>
  <si>
    <t xml:space="preserve">nuclear transcription factor Y subunit A-10-like </t>
  </si>
  <si>
    <t>Bma020491.1</t>
  </si>
  <si>
    <t>Bma020544.1</t>
  </si>
  <si>
    <t xml:space="preserve">hypothetical protein EUGRSUZ_K02430 </t>
  </si>
  <si>
    <t>Bma020624.1</t>
  </si>
  <si>
    <t>Bma020760.1</t>
  </si>
  <si>
    <t xml:space="preserve">glutamate receptor 2.9-like </t>
  </si>
  <si>
    <t>Bma020840.1</t>
  </si>
  <si>
    <t xml:space="preserve">uncharacterized protein LOC102610145 isoform X1 </t>
  </si>
  <si>
    <t>Bma020930.1</t>
  </si>
  <si>
    <t xml:space="preserve">alcohol dehydrogenase-like 7  </t>
  </si>
  <si>
    <t>Bma020966.1</t>
  </si>
  <si>
    <t xml:space="preserve">galactinol synthase 1  </t>
  </si>
  <si>
    <t>Bma021001.1</t>
  </si>
  <si>
    <t xml:space="preserve">uncharacterized protein LOC104772242 </t>
  </si>
  <si>
    <t>Bma021073.1</t>
  </si>
  <si>
    <t xml:space="preserve">vinorine synthase-like  </t>
  </si>
  <si>
    <t>Bma021238.1</t>
  </si>
  <si>
    <t xml:space="preserve">hypothetical protein VITISV_028479 </t>
  </si>
  <si>
    <t>Bma021264.4</t>
  </si>
  <si>
    <t xml:space="preserve">golgin candidate 5  </t>
  </si>
  <si>
    <t>Bma021293.1</t>
  </si>
  <si>
    <t xml:space="preserve">FtsJ-like methyltransferase family protein  </t>
  </si>
  <si>
    <t>Bma021326.1</t>
  </si>
  <si>
    <t xml:space="preserve">Glutamate-gated kainate-type ion channel receptor subunit GluR5, putative  </t>
  </si>
  <si>
    <t>Bma021367.1</t>
  </si>
  <si>
    <t xml:space="preserve">somatic embryogenesis receptor kinase, putative </t>
  </si>
  <si>
    <t>Bma021609.1</t>
  </si>
  <si>
    <t xml:space="preserve">succinate-semialdehyde dehydrogenase, mitochondrial </t>
  </si>
  <si>
    <t>Bma021663.1</t>
  </si>
  <si>
    <t xml:space="preserve">protein trichome birefringence-like 13 </t>
  </si>
  <si>
    <t>Bma022125.1</t>
  </si>
  <si>
    <t xml:space="preserve">nucleolar protein 6 isoform X2 </t>
  </si>
  <si>
    <t>Bma022174.1</t>
  </si>
  <si>
    <t xml:space="preserve">putative beta-D-xylosidase  </t>
  </si>
  <si>
    <t>Bma022195.1</t>
  </si>
  <si>
    <t xml:space="preserve">uncharacterized protein LOC103322995 </t>
  </si>
  <si>
    <t>Bma022359.1</t>
  </si>
  <si>
    <t>probable serine</t>
  </si>
  <si>
    <t>Bma022398.1</t>
  </si>
  <si>
    <t xml:space="preserve">uncharacterized calcium-binding protein At1g02270  </t>
  </si>
  <si>
    <t>Bma022425.2</t>
  </si>
  <si>
    <t xml:space="preserve">hypothetical protein Csa_6G104600 </t>
  </si>
  <si>
    <t>Bma022524.1</t>
  </si>
  <si>
    <t xml:space="preserve">protein FAR1-RELATED SEQUENCE 7-like isoform X1 </t>
  </si>
  <si>
    <t>Bma022581.1</t>
  </si>
  <si>
    <t xml:space="preserve">hypothetical protein PRUPE_ppa005050mg  </t>
  </si>
  <si>
    <t>Bma022614.1</t>
  </si>
  <si>
    <t xml:space="preserve">Uncharacterized protein isoform 1  </t>
  </si>
  <si>
    <t>Bma022664.1</t>
  </si>
  <si>
    <t xml:space="preserve">uncharacterized protein LOC103500009 isoform X1 </t>
  </si>
  <si>
    <t>Bma022670.1</t>
  </si>
  <si>
    <t>Bma022735.1</t>
  </si>
  <si>
    <t xml:space="preserve">hypothetical protein B456_002G126800 </t>
  </si>
  <si>
    <t>Bma022823.1</t>
  </si>
  <si>
    <t xml:space="preserve">Myb domain protein 86  </t>
  </si>
  <si>
    <t>Bma023074.1</t>
  </si>
  <si>
    <t>isoflavone 2</t>
  </si>
  <si>
    <t>Bma023402.1</t>
  </si>
  <si>
    <t xml:space="preserve">polyprotein </t>
  </si>
  <si>
    <t>Bma023515.1</t>
  </si>
  <si>
    <t xml:space="preserve">uncharacterized protein LOC8285446 isoform X2 </t>
  </si>
  <si>
    <t>Bma023559.1</t>
  </si>
  <si>
    <t>Bma023903.1</t>
  </si>
  <si>
    <t xml:space="preserve">protein arginine N-methyltransferase 1.1  </t>
  </si>
  <si>
    <t>Bma024091.2</t>
  </si>
  <si>
    <t xml:space="preserve">uncharacterized protein LOC100249222 isoform X2 </t>
  </si>
  <si>
    <t>Bma024189.1</t>
  </si>
  <si>
    <t xml:space="preserve">probable fructose-bisphosphate aldolase 3, chloroplastic  </t>
  </si>
  <si>
    <t>Bma024204.1</t>
  </si>
  <si>
    <t xml:space="preserve">uncharacterized protein At1g04910  </t>
  </si>
  <si>
    <t>Bma024235.1</t>
  </si>
  <si>
    <t xml:space="preserve">DEAD-box ATP-dependent RNA helicase 36  </t>
  </si>
  <si>
    <t>Bma024243.1</t>
  </si>
  <si>
    <t xml:space="preserve">Purple acid phosphatase 3  </t>
  </si>
  <si>
    <t>Bma024250.3</t>
  </si>
  <si>
    <t xml:space="preserve">hypothetical protein VITISV_029713 </t>
  </si>
  <si>
    <t>Bma024346.1</t>
  </si>
  <si>
    <t xml:space="preserve">Peroxisomal membrane protein 11C  </t>
  </si>
  <si>
    <t>Bma024375.3</t>
  </si>
  <si>
    <t xml:space="preserve">cucumisin-like </t>
  </si>
  <si>
    <t>Bma024519.1</t>
  </si>
  <si>
    <t xml:space="preserve">probable isoleucine--tRNA ligase, mitochondrial isoform X2 </t>
  </si>
  <si>
    <t>Bma024533.1</t>
  </si>
  <si>
    <t xml:space="preserve">endonuclease III homolog 1, chloroplastic isoform X1 </t>
  </si>
  <si>
    <t>Bma024560.1</t>
  </si>
  <si>
    <t xml:space="preserve">nucleolar GTP-binding protein 1-like  </t>
  </si>
  <si>
    <t>Bma024567.1</t>
  </si>
  <si>
    <t xml:space="preserve">hypothetical protein PRUPE_ppa018635mg, partial  </t>
  </si>
  <si>
    <t>Bma024575.1</t>
  </si>
  <si>
    <t xml:space="preserve">uncharacterized protein LOC103503941 isoform X1 </t>
  </si>
  <si>
    <t>Bma024609.1</t>
  </si>
  <si>
    <t xml:space="preserve">translationally-controlled tumor protein homolog </t>
  </si>
  <si>
    <t>Bma024631.2</t>
  </si>
  <si>
    <t>Bma024681.1</t>
  </si>
  <si>
    <t xml:space="preserve">CVP2 like 1 isoform 1  </t>
  </si>
  <si>
    <t>Bma024684.1</t>
  </si>
  <si>
    <t>protein tesmin</t>
  </si>
  <si>
    <t>Bma024719.1</t>
  </si>
  <si>
    <t>Bma024732.1</t>
  </si>
  <si>
    <t xml:space="preserve">Isopropyl malate isomerase large subunit 1  </t>
  </si>
  <si>
    <t>Bma024744.1</t>
  </si>
  <si>
    <t xml:space="preserve">hypothetical protein CICLE_v10005476mg  </t>
  </si>
  <si>
    <t>Bma024859.2</t>
  </si>
  <si>
    <t xml:space="preserve">ATP-dependent zinc metalloprotease FTSH 10, mitochondrial  </t>
  </si>
  <si>
    <t>Bma024878.1</t>
  </si>
  <si>
    <t>Bma024901.1</t>
  </si>
  <si>
    <t>arogenate dehydratase</t>
  </si>
  <si>
    <t>Bma024910.1</t>
  </si>
  <si>
    <t xml:space="preserve">auxin response factor 4  </t>
  </si>
  <si>
    <t>Bma024951.1</t>
  </si>
  <si>
    <t>Bma024973.1</t>
  </si>
  <si>
    <t xml:space="preserve">germin-like protein 9-3  </t>
  </si>
  <si>
    <t>Bma024998.2</t>
  </si>
  <si>
    <t>Bma025010.2</t>
  </si>
  <si>
    <t xml:space="preserve">enoyl- reductase , chloroplastic-like </t>
  </si>
  <si>
    <t>Bma025108.2</t>
  </si>
  <si>
    <t xml:space="preserve">transcription factor ILR3-like </t>
  </si>
  <si>
    <t>Bma025132.1</t>
  </si>
  <si>
    <t xml:space="preserve">hypothetical protein CICLE_v10016776mg  </t>
  </si>
  <si>
    <t>Bma025160.1</t>
  </si>
  <si>
    <t xml:space="preserve">protein kinase (PK), partial </t>
  </si>
  <si>
    <t>Bma025244.1</t>
  </si>
  <si>
    <t xml:space="preserve">hypothetical protein PRUPE_ppa006323mg  </t>
  </si>
  <si>
    <t>Bma025294.3</t>
  </si>
  <si>
    <t xml:space="preserve">probable plastidic glucose transporter 2 isoform X1 </t>
  </si>
  <si>
    <t>Bma025296.1</t>
  </si>
  <si>
    <t xml:space="preserve">peroxiredoxin-2B  </t>
  </si>
  <si>
    <t>Bma025320.1</t>
  </si>
  <si>
    <t xml:space="preserve">hypothetical protein PRUPE_ppa006926mg  </t>
  </si>
  <si>
    <t>Bma025325.1</t>
  </si>
  <si>
    <t xml:space="preserve">probable glutamate carboxypeptidase 2 </t>
  </si>
  <si>
    <t>Bma025400.1</t>
  </si>
  <si>
    <t xml:space="preserve">Fatty acid biosynthesis 1 isoform 5  </t>
  </si>
  <si>
    <t>Bma025461.1</t>
  </si>
  <si>
    <t xml:space="preserve">uncharacterized protein LOC101218093 </t>
  </si>
  <si>
    <t>Bma025605.1</t>
  </si>
  <si>
    <t xml:space="preserve">uncharacterized protein LOC104221033 </t>
  </si>
  <si>
    <t>Bma025788.1</t>
  </si>
  <si>
    <t>DEA(D</t>
  </si>
  <si>
    <t>Bma025848.1</t>
  </si>
  <si>
    <t xml:space="preserve">Aquaporin NIP1-2  </t>
  </si>
  <si>
    <t>Bma025930.1</t>
  </si>
  <si>
    <t xml:space="preserve">vacuolar-sorting receptor 6-like isoform X1 </t>
  </si>
  <si>
    <t>Bma026061.1</t>
  </si>
  <si>
    <t xml:space="preserve">uncharacterized protein LOC102668761  </t>
  </si>
  <si>
    <t>Bma026127.1</t>
  </si>
  <si>
    <t>Bma026368.1</t>
  </si>
  <si>
    <t>Bma026581.1</t>
  </si>
  <si>
    <t xml:space="preserve">Putative metal-nicotianamine transporter YSL13 </t>
  </si>
  <si>
    <t>Bma026697.1</t>
  </si>
  <si>
    <t xml:space="preserve">transcription factor bHLH122 isoform X1  </t>
  </si>
  <si>
    <t>Bma026791.1</t>
  </si>
  <si>
    <t xml:space="preserve">protein SAND  </t>
  </si>
  <si>
    <t>Bma026804.1</t>
  </si>
  <si>
    <t xml:space="preserve">ROP interactive partner 5 isoform 2  </t>
  </si>
  <si>
    <t>Bma026816.2</t>
  </si>
  <si>
    <t xml:space="preserve">hypothetical protein L484_010864  </t>
  </si>
  <si>
    <t>Bma026849.1</t>
  </si>
  <si>
    <t xml:space="preserve">probable protein phosphatase 2C 24 </t>
  </si>
  <si>
    <t>Bma026875.2</t>
  </si>
  <si>
    <t xml:space="preserve">cinnamoyl-CoA reductase 1  </t>
  </si>
  <si>
    <t>Bma026881.1</t>
  </si>
  <si>
    <t xml:space="preserve">E3 ubiquitin-protein ligase listerin </t>
  </si>
  <si>
    <t>Bma026906.1</t>
  </si>
  <si>
    <t xml:space="preserve">GATA transcription factor 26-like </t>
  </si>
  <si>
    <t>Bma026925.2</t>
  </si>
  <si>
    <t xml:space="preserve">hypothetical protein B456_004G002500 </t>
  </si>
  <si>
    <t>Bma026937.2</t>
  </si>
  <si>
    <t>Bma026938.1</t>
  </si>
  <si>
    <t xml:space="preserve">probable DEAD-box ATP-dependent RNA helicase 48 </t>
  </si>
  <si>
    <t>Bma027032.1</t>
  </si>
  <si>
    <t xml:space="preserve">GDP dissociation inhibitor family protein </t>
  </si>
  <si>
    <t>Bma027186.1</t>
  </si>
  <si>
    <t xml:space="preserve">alpha-N-acetylglucosaminidase-like isoform X1 </t>
  </si>
  <si>
    <t>Bma027205.1</t>
  </si>
  <si>
    <t>Bma027257.1</t>
  </si>
  <si>
    <t xml:space="preserve">transcription factor TCP5  </t>
  </si>
  <si>
    <t>Bma027258.1</t>
  </si>
  <si>
    <t xml:space="preserve">protein LONGIFOLIA 1-like </t>
  </si>
  <si>
    <t>Bma027285.1</t>
  </si>
  <si>
    <t>SWI</t>
  </si>
  <si>
    <t>Bma027324.1</t>
  </si>
  <si>
    <t xml:space="preserve">Tripeptidyl-peptidase 2  </t>
  </si>
  <si>
    <t>Bma027570.1</t>
  </si>
  <si>
    <t xml:space="preserve">vacuolar protein sorting-associated protein 45 homolog isoform X2  </t>
  </si>
  <si>
    <t>Bma027997.1</t>
  </si>
  <si>
    <t xml:space="preserve">exopolygalacturonase-like </t>
  </si>
  <si>
    <t>Bma028055.1</t>
  </si>
  <si>
    <t xml:space="preserve">histone deacetylase 19 isoform X1  </t>
  </si>
  <si>
    <t>Bma028065.2</t>
  </si>
  <si>
    <t xml:space="preserve">Phototropin 2 isoform 2  </t>
  </si>
  <si>
    <t>Bma028088.1</t>
  </si>
  <si>
    <t xml:space="preserve">lysM domain-containing GPI-anchored protein 2 </t>
  </si>
  <si>
    <t>Bma028204.1</t>
  </si>
  <si>
    <t xml:space="preserve">Leucine-rich repeat transmembrane protein kinase  </t>
  </si>
  <si>
    <t>Bma028292.1</t>
  </si>
  <si>
    <t xml:space="preserve">uncharacterized protein LOC103438591 isoform X1 </t>
  </si>
  <si>
    <t>Bma028459.1</t>
  </si>
  <si>
    <t xml:space="preserve">protein yippee-like isoform X1 </t>
  </si>
  <si>
    <t>Bma028513.1</t>
  </si>
  <si>
    <t>Bma028540.1</t>
  </si>
  <si>
    <t xml:space="preserve">rop guanine nucleotide exchange factor 5 </t>
  </si>
  <si>
    <t>Bma028596.1</t>
  </si>
  <si>
    <t xml:space="preserve">chorismate synthase, chloroplastic  </t>
  </si>
  <si>
    <t>Bma028607.1</t>
  </si>
  <si>
    <t xml:space="preserve">glycine-rich RNA-binding family protein  </t>
  </si>
  <si>
    <t>Bma028646.1</t>
  </si>
  <si>
    <t xml:space="preserve">transcriptional activator DEMETER isoform X1  </t>
  </si>
  <si>
    <t>Bma028736.1</t>
  </si>
  <si>
    <t xml:space="preserve">Tetratricopeptide repeat (TPR)-like superfamily protein isoform 1  </t>
  </si>
  <si>
    <t>Bma028828.1</t>
  </si>
  <si>
    <t xml:space="preserve">LOW QUALITY PROTEIN: pleiotropic drug resistance protein 3-like </t>
  </si>
  <si>
    <t>Bma028835.1</t>
  </si>
  <si>
    <t xml:space="preserve">probable E3 ubiquitin-protein ligase HERC4 isoform X1 </t>
  </si>
  <si>
    <t>Bma029165.1</t>
  </si>
  <si>
    <t xml:space="preserve">uncharacterized protein LOC103964478 </t>
  </si>
  <si>
    <t>Bma029412.1</t>
  </si>
  <si>
    <t xml:space="preserve">protein ROOT PRIMORDIUM DEFECTIVE 1 </t>
  </si>
  <si>
    <t>Bma029453.1</t>
  </si>
  <si>
    <t xml:space="preserve">uncharacterized protein LOC100788725  </t>
  </si>
  <si>
    <t>Bma029560.3</t>
  </si>
  <si>
    <t xml:space="preserve">hypothetical protein PRUPE_ppa026489mg  </t>
  </si>
  <si>
    <t>Bma029582.1</t>
  </si>
  <si>
    <t xml:space="preserve">uncharacterized protein LOC103500465 </t>
  </si>
  <si>
    <t>Bma029639.1</t>
  </si>
  <si>
    <t xml:space="preserve">uncharacterized protein LOC101208586 isoform X1  </t>
  </si>
  <si>
    <t>Bma029666.1</t>
  </si>
  <si>
    <t xml:space="preserve">1-aminocyclopropane-1-carboxylate oxidase-1-like protein  </t>
  </si>
  <si>
    <t>Bma029693.2</t>
  </si>
  <si>
    <t xml:space="preserve">putative leucine-rich repeat-containing protein DDB_G0290503  </t>
  </si>
  <si>
    <t>Bma029868.1</t>
  </si>
  <si>
    <t xml:space="preserve">pleckstrin homology domain-containing family A member 8-like  </t>
  </si>
  <si>
    <t>Bma029892.3</t>
  </si>
  <si>
    <t xml:space="preserve">DNA mismatch repair protein MSH6 </t>
  </si>
  <si>
    <t>Bma029905.2</t>
  </si>
  <si>
    <t xml:space="preserve">putative pre-mRNA-splicing factor ATP-dependent RNA helicase  </t>
  </si>
  <si>
    <t>Bma029957.1</t>
  </si>
  <si>
    <t xml:space="preserve">cytochrome b5 domain-containing protein RLF  </t>
  </si>
  <si>
    <t>Bma029968.1</t>
  </si>
  <si>
    <t xml:space="preserve">MATE efflux family protein FRD3 </t>
  </si>
  <si>
    <t>Bma029991.1</t>
  </si>
  <si>
    <t xml:space="preserve">histone-lysine N-methyltransferase, H3 lysine-9 specific SUVH5-like  </t>
  </si>
  <si>
    <t>Bma029993.1</t>
  </si>
  <si>
    <t xml:space="preserve">uncharacterized protein LOC101208443  </t>
  </si>
  <si>
    <t>Bma030046.3</t>
  </si>
  <si>
    <t xml:space="preserve">hypothetical protein PRUPE_ppa000621mg  </t>
  </si>
  <si>
    <t>Bma030116.1</t>
  </si>
  <si>
    <t xml:space="preserve">hypothetical protein L484_013448  </t>
  </si>
  <si>
    <t>Bma030248</t>
  </si>
  <si>
    <t xml:space="preserve">Flavin-binding monooxygenase family protein  </t>
  </si>
  <si>
    <t>Bma030254</t>
  </si>
  <si>
    <t xml:space="preserve">nuclear export mediator factor Nemf isoform X1 </t>
  </si>
  <si>
    <t>Bma030266</t>
  </si>
  <si>
    <t xml:space="preserve">pentatricopeptide repeat-containing protein At3g09060-like  </t>
  </si>
  <si>
    <t>Bma030289</t>
  </si>
  <si>
    <t xml:space="preserve">lecithin-cholesterol acyltransferase-like 1 </t>
  </si>
  <si>
    <t>Bma030330</t>
  </si>
  <si>
    <t xml:space="preserve">uncharacterized protein At5g03900, chloroplastic </t>
  </si>
  <si>
    <t>Bma030365</t>
  </si>
  <si>
    <t>Bma030375</t>
  </si>
  <si>
    <t xml:space="preserve">proteasome subunit alpha type-6  </t>
  </si>
  <si>
    <t>Bma030381</t>
  </si>
  <si>
    <t xml:space="preserve">Uncharacterized protein TCM_028895  </t>
  </si>
  <si>
    <t>Bma030386</t>
  </si>
  <si>
    <t xml:space="preserve">Leucine-rich repeat (LRR) family protein  </t>
  </si>
  <si>
    <t>Bma030387</t>
  </si>
  <si>
    <t>Molecular chaperone Hsp40</t>
  </si>
  <si>
    <t>Bma030431</t>
  </si>
  <si>
    <t xml:space="preserve">crt homolog 1-like </t>
  </si>
  <si>
    <t>Bma030485</t>
  </si>
  <si>
    <t xml:space="preserve">uncharacterized protein LOC105639405  </t>
  </si>
  <si>
    <t>Bma030514</t>
  </si>
  <si>
    <t xml:space="preserve">histone-lysine N-methyltransferase ATXR2 isoform X2 </t>
  </si>
  <si>
    <t>Bma030560</t>
  </si>
  <si>
    <t xml:space="preserve">adenine nucleotide translocator </t>
  </si>
  <si>
    <t>Bma030599</t>
  </si>
  <si>
    <t xml:space="preserve">acyl-CoA-binding domain-containing protein 4-like isoform X1 </t>
  </si>
  <si>
    <t>Bma030623</t>
  </si>
  <si>
    <t xml:space="preserve">hypothetical protein GLYMA_08G350600 </t>
  </si>
  <si>
    <t>Bma030635</t>
  </si>
  <si>
    <t xml:space="preserve">beta-amylase 8  </t>
  </si>
  <si>
    <t>Bma030656</t>
  </si>
  <si>
    <t xml:space="preserve">LOW QUALITY PROTEIN: 65-kDa microtubule-associated protein 1-like </t>
  </si>
  <si>
    <t>Bma030731</t>
  </si>
  <si>
    <t xml:space="preserve">sec-independent protein translocase protein TATC, chloroplastic </t>
  </si>
  <si>
    <t>Bma030789</t>
  </si>
  <si>
    <t xml:space="preserve">rop guanine nucleotide exchange factor 12-like  </t>
  </si>
  <si>
    <t>Bma030834</t>
  </si>
  <si>
    <t xml:space="preserve">hypothetical protein PRUPE_ppa016591mg  </t>
  </si>
  <si>
    <t>Bma030929</t>
  </si>
  <si>
    <t xml:space="preserve">protein-ribulosamine 3-kinase, chloroplastic </t>
  </si>
  <si>
    <t>Bma030933</t>
  </si>
  <si>
    <t xml:space="preserve">hypothetical protein POPTR_0002s13580g  </t>
  </si>
  <si>
    <t>Bma030942</t>
  </si>
  <si>
    <t xml:space="preserve">calcium permeable stress-gated cation channel 1  </t>
  </si>
  <si>
    <t>Bma030984</t>
  </si>
  <si>
    <t xml:space="preserve">uncharacterized protein LOC105792917  </t>
  </si>
  <si>
    <t>Bma030986</t>
  </si>
  <si>
    <t xml:space="preserve">BAH and coiled-coil domain-containing protein 1-like  </t>
  </si>
  <si>
    <t>Bma030992</t>
  </si>
  <si>
    <t xml:space="preserve">pentatricopeptide repeat-containing protein At1g11900-like isoform X2 </t>
  </si>
  <si>
    <t>Bma030993</t>
  </si>
  <si>
    <t>Mitotic checkpoint serine</t>
  </si>
  <si>
    <t>Bma031117</t>
  </si>
  <si>
    <t>Bma031172</t>
  </si>
  <si>
    <t xml:space="preserve">probable alpha-amylase 2 </t>
  </si>
  <si>
    <t>Bma031227</t>
  </si>
  <si>
    <t xml:space="preserve">imidazoleglycerol-phosphate dehydratase isoform X1 </t>
  </si>
  <si>
    <t>Bma031244</t>
  </si>
  <si>
    <t xml:space="preserve">26S proteasome non-ATPase regulatory subunit 1 homolog A </t>
  </si>
  <si>
    <t>Bma031257</t>
  </si>
  <si>
    <t xml:space="preserve">hypothetical protein POPTR_0005s16080g  </t>
  </si>
  <si>
    <t>Bma031280</t>
  </si>
  <si>
    <t xml:space="preserve">hypothetical protein LR48_Vigan06g024900 </t>
  </si>
  <si>
    <t>Bma031310</t>
  </si>
  <si>
    <t xml:space="preserve">hypothetical protein PRUPE_ppa006329mg  </t>
  </si>
  <si>
    <t>Bma031336</t>
  </si>
  <si>
    <t xml:space="preserve">hypothetical protein L484_004769  </t>
  </si>
  <si>
    <t>Bma031375</t>
  </si>
  <si>
    <t xml:space="preserve">chloroplast outer envelope protein 34 </t>
  </si>
  <si>
    <t>Bma031393</t>
  </si>
  <si>
    <t xml:space="preserve">zinc finger protein ZPR1-like  </t>
  </si>
  <si>
    <t>Bma031401</t>
  </si>
  <si>
    <t xml:space="preserve">protochlorophyllide reductase, chloroplastic </t>
  </si>
  <si>
    <t>Bma031410</t>
  </si>
  <si>
    <t xml:space="preserve">Laccase 3  </t>
  </si>
  <si>
    <t>Bma031427</t>
  </si>
  <si>
    <t>Bma031483</t>
  </si>
  <si>
    <t xml:space="preserve">hypothetical protein L484_010749  </t>
  </si>
  <si>
    <t>Bma031484</t>
  </si>
  <si>
    <t xml:space="preserve">Cation efflux family protein isoform 1  </t>
  </si>
  <si>
    <t>Bma031492</t>
  </si>
  <si>
    <t xml:space="preserve">probable protein arginine N-methyltransferase 3  </t>
  </si>
  <si>
    <t>Bma031529</t>
  </si>
  <si>
    <t xml:space="preserve">uncharacterized protein LOC100264112 </t>
  </si>
  <si>
    <t>Bma031546</t>
  </si>
  <si>
    <t xml:space="preserve">coatomer subunit beta-1-like  </t>
  </si>
  <si>
    <t>Bma000272.2</t>
  </si>
  <si>
    <t xml:space="preserve">phosphate transporter PHO1 homolog 3-like </t>
  </si>
  <si>
    <t>Bma000292.2</t>
  </si>
  <si>
    <t xml:space="preserve">hypothetical protein ARALYDRAFT_315930  </t>
  </si>
  <si>
    <t>Bma000370.1</t>
  </si>
  <si>
    <t xml:space="preserve">cell division cycle protein 27 homolog B-like isoform X1 </t>
  </si>
  <si>
    <t>Bma000381.1</t>
  </si>
  <si>
    <t xml:space="preserve">MAP kinase kinase 6 isoform 1  </t>
  </si>
  <si>
    <t>Bma000401.1</t>
  </si>
  <si>
    <t xml:space="preserve">hypothetical protein PRUPE_ppa005177mg  </t>
  </si>
  <si>
    <t>Bma000418.1</t>
  </si>
  <si>
    <t xml:space="preserve">vacuolar protein sorting-associated protein 2 homolog 1 </t>
  </si>
  <si>
    <t>Bma000429.1</t>
  </si>
  <si>
    <t xml:space="preserve">guanine nucleotide-binding protein subunit gamma 3 </t>
  </si>
  <si>
    <t>Bma000497.2</t>
  </si>
  <si>
    <t xml:space="preserve">signal recognition particle receptor subunit alpha homolog  </t>
  </si>
  <si>
    <t>Bma000524.1</t>
  </si>
  <si>
    <t>putative receptor-like serine</t>
  </si>
  <si>
    <t>Bma000539.2</t>
  </si>
  <si>
    <t>Bma000590.1</t>
  </si>
  <si>
    <t xml:space="preserve">glucan endo-1,3-beta-glucosidase 8 </t>
  </si>
  <si>
    <t>Bma000627.2</t>
  </si>
  <si>
    <t xml:space="preserve">ATP-dependent RNA helicase DHX36 </t>
  </si>
  <si>
    <t>Bma000655.2</t>
  </si>
  <si>
    <t xml:space="preserve">dynein light chain LC6, flagellar outer arm isoform X1 </t>
  </si>
  <si>
    <t>Bma000672.1</t>
  </si>
  <si>
    <t xml:space="preserve">probable receptor protein kinase TMK1 </t>
  </si>
  <si>
    <t>Bma000692.1</t>
  </si>
  <si>
    <t xml:space="preserve">hypothetical protein CISIN_1g021422mg </t>
  </si>
  <si>
    <t>Bma000808.1</t>
  </si>
  <si>
    <t xml:space="preserve">myosin-11-like isoform X1  </t>
  </si>
  <si>
    <t>Bma000853.1</t>
  </si>
  <si>
    <t xml:space="preserve">pectin acetylesterase 12-like </t>
  </si>
  <si>
    <t>Bma000887.2</t>
  </si>
  <si>
    <t xml:space="preserve">hypothetical protein L484_000182  </t>
  </si>
  <si>
    <t>Bma000913.1</t>
  </si>
  <si>
    <t>G2</t>
  </si>
  <si>
    <t>Bma001189.2</t>
  </si>
  <si>
    <t xml:space="preserve">protein kinase PVPK-1  </t>
  </si>
  <si>
    <t>Bma001356.1</t>
  </si>
  <si>
    <t xml:space="preserve">WPP domain-interacting tail-anchored protein 1-like </t>
  </si>
  <si>
    <t>Bma001390.3</t>
  </si>
  <si>
    <t xml:space="preserve">hypothetical protein Csa_4G410830 </t>
  </si>
  <si>
    <t>Bma001680.1</t>
  </si>
  <si>
    <t>Bma001752.1</t>
  </si>
  <si>
    <t xml:space="preserve">Uncharacterized protein TCM_034905  </t>
  </si>
  <si>
    <t>Bma001962.1</t>
  </si>
  <si>
    <t>Amino acid</t>
  </si>
  <si>
    <t>Bma002634.1</t>
  </si>
  <si>
    <t xml:space="preserve">hypothetical protein PRUPE_ppa020794mg  </t>
  </si>
  <si>
    <t>Bma002881.1</t>
  </si>
  <si>
    <t xml:space="preserve">chlorophyllide a oxygenase, chloroplastic  </t>
  </si>
  <si>
    <t>Bma002974.1</t>
  </si>
  <si>
    <t xml:space="preserve">uncharacterized protein LOC104590232 </t>
  </si>
  <si>
    <t>Bma002991.1</t>
  </si>
  <si>
    <t xml:space="preserve">uncharacterized protein LOC103965994  </t>
  </si>
  <si>
    <t>Bma003013.1</t>
  </si>
  <si>
    <t xml:space="preserve">uncharacterized protein LOC103501474  </t>
  </si>
  <si>
    <t>Bma003031.1</t>
  </si>
  <si>
    <t xml:space="preserve">Histidine kinase cytokinin receptor isoform 2  </t>
  </si>
  <si>
    <t>Bma003174.1</t>
  </si>
  <si>
    <t xml:space="preserve">hypothetical protein POPTR_0002s26360g  </t>
  </si>
  <si>
    <t>Bma003379.1</t>
  </si>
  <si>
    <t>abscisic acid 8</t>
  </si>
  <si>
    <t>Bma003381.1</t>
  </si>
  <si>
    <t xml:space="preserve">hypothetical protein PRUPE_ppa000257mg  </t>
  </si>
  <si>
    <t>Bma003436.1</t>
  </si>
  <si>
    <t>Bma003491.1</t>
  </si>
  <si>
    <t xml:space="preserve">LOW QUALITY PROTEIN: 40S ribosomal protein S6-like </t>
  </si>
  <si>
    <t>Bma003524.1</t>
  </si>
  <si>
    <t xml:space="preserve">LOW QUALITY PROTEIN: phosphatidylinositol 4-phosphate 5-kinase 1-like </t>
  </si>
  <si>
    <t>Bma003549.1</t>
  </si>
  <si>
    <t xml:space="preserve">HD domain-containing protein 2  </t>
  </si>
  <si>
    <t>Bma003550.2</t>
  </si>
  <si>
    <t>Bma003648.1</t>
  </si>
  <si>
    <t xml:space="preserve">probable E3 ubiquitin-protein ligase LOG2  </t>
  </si>
  <si>
    <t>Bma003702.2</t>
  </si>
  <si>
    <t xml:space="preserve">pleiotropic drug resistance protein 2-like  </t>
  </si>
  <si>
    <t>Bma003832.1</t>
  </si>
  <si>
    <t>GTP-binding protein TypA</t>
  </si>
  <si>
    <t>Bma003979.1</t>
  </si>
  <si>
    <t xml:space="preserve">hypothetical protein PRUPE_ppa001377mg  </t>
  </si>
  <si>
    <t>Bma004310.1</t>
  </si>
  <si>
    <t xml:space="preserve">Subtilisin-like protease  </t>
  </si>
  <si>
    <t>Bma004335.1</t>
  </si>
  <si>
    <t xml:space="preserve">chloride channel protein CLC-f </t>
  </si>
  <si>
    <t>Bma004395.1</t>
  </si>
  <si>
    <t xml:space="preserve">pectinesterase 3 </t>
  </si>
  <si>
    <t>Bma004637.1</t>
  </si>
  <si>
    <t>putative leucine-rich repeat receptor-like serine</t>
  </si>
  <si>
    <t>Bma005063.1</t>
  </si>
  <si>
    <t xml:space="preserve">probable DNA helicase MCM9 isoform X1 </t>
  </si>
  <si>
    <t>Bma005071.1</t>
  </si>
  <si>
    <t xml:space="preserve">uncharacterized protein LOC100257265  </t>
  </si>
  <si>
    <t>Bma005171.1</t>
  </si>
  <si>
    <t xml:space="preserve">uncharacterized protein LOC105764312 </t>
  </si>
  <si>
    <t>Bma005250.1</t>
  </si>
  <si>
    <t xml:space="preserve">dehydration-responsive element-binding protein 1A </t>
  </si>
  <si>
    <t>Bma005373.2</t>
  </si>
  <si>
    <t xml:space="preserve">hypothetical protein Csa_3G360140 </t>
  </si>
  <si>
    <t>Bma005394.1</t>
  </si>
  <si>
    <t xml:space="preserve">hypothetical protein PRUPE_ppa005791mg  </t>
  </si>
  <si>
    <t>Bma005440.1</t>
  </si>
  <si>
    <t xml:space="preserve">stomatin-like protein 2, mitochondrial </t>
  </si>
  <si>
    <t>Bma005497.1</t>
  </si>
  <si>
    <t xml:space="preserve">phosphatidate cytidylyltransferase 1  </t>
  </si>
  <si>
    <t>Bma005580.2</t>
  </si>
  <si>
    <t xml:space="preserve">hypothetical protein PRUPE_ppa002403mg  </t>
  </si>
  <si>
    <t>Bma005688.1</t>
  </si>
  <si>
    <t xml:space="preserve">cyclin D3-1 </t>
  </si>
  <si>
    <t>Bma005800.1</t>
  </si>
  <si>
    <t xml:space="preserve">hypothetical protein PRUPE_ppa008265mg  </t>
  </si>
  <si>
    <t>Bma005902.2</t>
  </si>
  <si>
    <t xml:space="preserve">condensin complex subunit 1 </t>
  </si>
  <si>
    <t>Bma005985.1</t>
  </si>
  <si>
    <t xml:space="preserve">uncharacterized protein LOC105768695  </t>
  </si>
  <si>
    <t>Bma006003.1</t>
  </si>
  <si>
    <t xml:space="preserve">uncharacterized protein LOC103329346 isoform X1  </t>
  </si>
  <si>
    <t>Bma006018.1</t>
  </si>
  <si>
    <t xml:space="preserve">probable lactoylglutathione lyase, chloroplast </t>
  </si>
  <si>
    <t>Bma006059.1</t>
  </si>
  <si>
    <t xml:space="preserve">hypothetical protein VITISV_007475 </t>
  </si>
  <si>
    <t>Bma006960.1</t>
  </si>
  <si>
    <t xml:space="preserve">Protein LURP-one-related 4  </t>
  </si>
  <si>
    <t>Bma007003.1</t>
  </si>
  <si>
    <t xml:space="preserve">hypothetical protein PRUPE_ppa001070mg  </t>
  </si>
  <si>
    <t>Bma007019.1</t>
  </si>
  <si>
    <t xml:space="preserve">endoribonuclease Dicer homolog 2 </t>
  </si>
  <si>
    <t>Bma007059.1</t>
  </si>
  <si>
    <t xml:space="preserve">peptidyl-tRNA hydrolase ICT1, mitochondrial  </t>
  </si>
  <si>
    <t>Bma007129.1</t>
  </si>
  <si>
    <t>Bma007140.1</t>
  </si>
  <si>
    <t xml:space="preserve">Ribulose-phosphate 3-epimerase, cytoplasmic isoform  </t>
  </si>
  <si>
    <t>Bma007159.1</t>
  </si>
  <si>
    <t xml:space="preserve">uncharacterized protein LOC106770837 isoform X1  </t>
  </si>
  <si>
    <t>Bma007465.2</t>
  </si>
  <si>
    <t>Abscisic acid 8</t>
  </si>
  <si>
    <t>Bma007629.1</t>
  </si>
  <si>
    <t xml:space="preserve">Polyol transporter 5  </t>
  </si>
  <si>
    <t>Bma007649.1</t>
  </si>
  <si>
    <t>Bma007679.1</t>
  </si>
  <si>
    <t xml:space="preserve">cysteine proteinase RD19a-like </t>
  </si>
  <si>
    <t>Bma007750.1</t>
  </si>
  <si>
    <t xml:space="preserve">uncharacterized protein LOC101214958 isoform X1  </t>
  </si>
  <si>
    <t>Bma008009.1</t>
  </si>
  <si>
    <t xml:space="preserve">cytochrome b6-f complex iron-sulfur subunit 1, chloroplastic  </t>
  </si>
  <si>
    <t>Bma008098.2</t>
  </si>
  <si>
    <t xml:space="preserve">hypothetical protein PRUPE_ppa004349mg  </t>
  </si>
  <si>
    <t>Bma008145.1</t>
  </si>
  <si>
    <t>putative BPI</t>
  </si>
  <si>
    <t>Bma008188.1</t>
  </si>
  <si>
    <t xml:space="preserve">histidine kinase 2 isoform X1 </t>
  </si>
  <si>
    <t>Bma008244.1</t>
  </si>
  <si>
    <t>Bma008410.2</t>
  </si>
  <si>
    <t xml:space="preserve">hypothetical protein PRUPE_ppa020002mg  </t>
  </si>
  <si>
    <t>Bma008446.1</t>
  </si>
  <si>
    <t xml:space="preserve">hypothetical protein L484_011609  </t>
  </si>
  <si>
    <t>Bma008557.1</t>
  </si>
  <si>
    <t xml:space="preserve">putative disease resistance protein RGA1 </t>
  </si>
  <si>
    <t>Bma008596.2</t>
  </si>
  <si>
    <t xml:space="preserve">hypothetical protein PRUPE_ppa001476mg  </t>
  </si>
  <si>
    <t>Bma008607.1</t>
  </si>
  <si>
    <t xml:space="preserve">hypothetical protein PHAVU_004G154200g  </t>
  </si>
  <si>
    <t>Bma008623.3</t>
  </si>
  <si>
    <t xml:space="preserve">hypothetical protein CICLE_v10020565mg  </t>
  </si>
  <si>
    <t>Bma008626.1</t>
  </si>
  <si>
    <t xml:space="preserve">uncharacterized protein At4g15970-like </t>
  </si>
  <si>
    <t>Bma008654.1</t>
  </si>
  <si>
    <t xml:space="preserve">GPCR-type G protein 1 </t>
  </si>
  <si>
    <t>Bma008675.1</t>
  </si>
  <si>
    <t xml:space="preserve">protein transport protein Sec31A </t>
  </si>
  <si>
    <t>Bma008708.1</t>
  </si>
  <si>
    <t xml:space="preserve">cyclin-P3-1 </t>
  </si>
  <si>
    <t>Bma008718.1</t>
  </si>
  <si>
    <t xml:space="preserve">transmembrane protein 41 homolog </t>
  </si>
  <si>
    <t>Bma008757.1</t>
  </si>
  <si>
    <t>Bma008845.2</t>
  </si>
  <si>
    <t xml:space="preserve">hypothetical protein PRUPE_ppa001662mg  </t>
  </si>
  <si>
    <t>Bma008916.1</t>
  </si>
  <si>
    <t xml:space="preserve">transcription factor bHLH83  </t>
  </si>
  <si>
    <t>Bma008929.1</t>
  </si>
  <si>
    <t xml:space="preserve">THO complex subunit 4D isoform X1 </t>
  </si>
  <si>
    <t>Bma009020.1</t>
  </si>
  <si>
    <t xml:space="preserve">hypothetical protein Ccrd_016590 </t>
  </si>
  <si>
    <t>Bma009399.2</t>
  </si>
  <si>
    <t xml:space="preserve">hypothetical protein PRUPE_ppa010230mg  </t>
  </si>
  <si>
    <t>Bma009453.1</t>
  </si>
  <si>
    <t xml:space="preserve">hypothetical protein Csa_2G033880 </t>
  </si>
  <si>
    <t>Bma009500.2</t>
  </si>
  <si>
    <t xml:space="preserve">hypothetical protein PRUPE_ppa000111mg  </t>
  </si>
  <si>
    <t>Bma009503.1</t>
  </si>
  <si>
    <t xml:space="preserve">Mitochondrial Rho GTPase 1  </t>
  </si>
  <si>
    <t>Bma009707.1</t>
  </si>
  <si>
    <t xml:space="preserve">hypothetical protein POPTR_0002s24380g  </t>
  </si>
  <si>
    <t>Bma009805.1</t>
  </si>
  <si>
    <t>coatomer subunit beta</t>
  </si>
  <si>
    <t>Bma009974.1</t>
  </si>
  <si>
    <t xml:space="preserve">homogentisate 1,2-dioxygenase </t>
  </si>
  <si>
    <t>Bma010106.1</t>
  </si>
  <si>
    <t xml:space="preserve">uncharacterized protein LOC100247040 isoform X1 </t>
  </si>
  <si>
    <t>Bma010157.1</t>
  </si>
  <si>
    <t xml:space="preserve">uncharacterized protein LOC101210396  </t>
  </si>
  <si>
    <t>Bma010226.1</t>
  </si>
  <si>
    <t xml:space="preserve">glycerophosphodiester phosphodiesterase GDPDL3 isoform X2  </t>
  </si>
  <si>
    <t>Bma010235.1</t>
  </si>
  <si>
    <t xml:space="preserve">uncharacterized protein LOC102621380 </t>
  </si>
  <si>
    <t>Bma010256.1</t>
  </si>
  <si>
    <t xml:space="preserve">ABC transporter G family member 26  </t>
  </si>
  <si>
    <t>Bma010278.1</t>
  </si>
  <si>
    <t xml:space="preserve">probable WRKY transcription factor 2  </t>
  </si>
  <si>
    <t>Bma010327.1</t>
  </si>
  <si>
    <t xml:space="preserve">ATPase 10, plasma membrane-type-like  </t>
  </si>
  <si>
    <t>Bma010361.1</t>
  </si>
  <si>
    <t xml:space="preserve">AP2 domain-containing transcription factor  </t>
  </si>
  <si>
    <t>Bma010365.2</t>
  </si>
  <si>
    <t xml:space="preserve">uncharacterized protein LOC101203238 isoform X2 </t>
  </si>
  <si>
    <t>Bma010371.1</t>
  </si>
  <si>
    <t xml:space="preserve">Putative phospholipid-transporting ATPase 5  </t>
  </si>
  <si>
    <t>Bma010559.1</t>
  </si>
  <si>
    <t xml:space="preserve">uncharacterized protein LOC105789350  </t>
  </si>
  <si>
    <t>Bma010668.1</t>
  </si>
  <si>
    <t>Bma010802.2</t>
  </si>
  <si>
    <t xml:space="preserve">protein IQ-DOMAIN 1-like  </t>
  </si>
  <si>
    <t>Bma010859.2</t>
  </si>
  <si>
    <t xml:space="preserve">serine carboxypeptidase-like 51 </t>
  </si>
  <si>
    <t>Bma010885.1</t>
  </si>
  <si>
    <t xml:space="preserve">uncharacterized membrane protein At1g06890  </t>
  </si>
  <si>
    <t>Bma010911.2</t>
  </si>
  <si>
    <t xml:space="preserve">125 kDa kinesin-related protein isoform X2 </t>
  </si>
  <si>
    <t>Bma010982.1</t>
  </si>
  <si>
    <t xml:space="preserve">RING-H2 finger protein ATL63 isoform X2  </t>
  </si>
  <si>
    <t>Bma010998.1</t>
  </si>
  <si>
    <t xml:space="preserve">ACT domain-containing protein ACR8  </t>
  </si>
  <si>
    <t>Bma011027.2</t>
  </si>
  <si>
    <t xml:space="preserve">glutamate--cysteine ligase, chloroplastic </t>
  </si>
  <si>
    <t>Bma011100.1</t>
  </si>
  <si>
    <t xml:space="preserve">protein RRNAD1 isoform X2 </t>
  </si>
  <si>
    <t>Bma011168.1</t>
  </si>
  <si>
    <t xml:space="preserve">nucleolar complex protein 2 homolog  </t>
  </si>
  <si>
    <t>Bma011192.1</t>
  </si>
  <si>
    <t xml:space="preserve">hypothetical protein CICLE_v10014503mg  </t>
  </si>
  <si>
    <t>Bma011256.1</t>
  </si>
  <si>
    <t xml:space="preserve">Uncharacterized protein L484_007981  </t>
  </si>
  <si>
    <t>Bma011331.1</t>
  </si>
  <si>
    <t xml:space="preserve">Malonyl-CoA decarboxylase  </t>
  </si>
  <si>
    <t>Bma011429.1</t>
  </si>
  <si>
    <t>Bma011453.1</t>
  </si>
  <si>
    <t xml:space="preserve">hypothetical protein CICLE_v10017480mg  </t>
  </si>
  <si>
    <t>Bma011554.1</t>
  </si>
  <si>
    <t xml:space="preserve">receptor-like protein kinase FERONIA </t>
  </si>
  <si>
    <t>Bma011559.1</t>
  </si>
  <si>
    <t xml:space="preserve">protein COBRA-like isoform X1 </t>
  </si>
  <si>
    <t>Bma011865.1</t>
  </si>
  <si>
    <t xml:space="preserve">hypothetical protein PRUPE_ppa003154mg  </t>
  </si>
  <si>
    <t>Bma011916.1</t>
  </si>
  <si>
    <t xml:space="preserve">pyrophosphate-energized vacuolar membrane proton pump 1-like </t>
  </si>
  <si>
    <t>Bma011989.1</t>
  </si>
  <si>
    <t>Bma012406.1</t>
  </si>
  <si>
    <t xml:space="preserve">chitobiosyldiphosphodolichol beta-mannosyltransferase-like isoform X2 </t>
  </si>
  <si>
    <t>Bma012715.2</t>
  </si>
  <si>
    <t xml:space="preserve">protein OBERON 3 </t>
  </si>
  <si>
    <t>Bma012812.1</t>
  </si>
  <si>
    <t xml:space="preserve">glutamate synthase , amyloplastic isoform X1 </t>
  </si>
  <si>
    <t>Bma012836.1</t>
  </si>
  <si>
    <t xml:space="preserve">polyadenylate-binding protein-interacting protein 12 </t>
  </si>
  <si>
    <t>Bma012871.1</t>
  </si>
  <si>
    <t xml:space="preserve">DNA-directed RNA polymerases I, II, and III subunit RPABC2 </t>
  </si>
  <si>
    <t>Bma012913.1</t>
  </si>
  <si>
    <t xml:space="preserve">MADS-box protein MADS1 </t>
  </si>
  <si>
    <t>Bma012944.4</t>
  </si>
  <si>
    <t>LOW QUALITY PROTEIN: probable LRR receptor-like serine</t>
  </si>
  <si>
    <t>Bma012973.1</t>
  </si>
  <si>
    <t xml:space="preserve">hypothetical protein Csa_2G035400 </t>
  </si>
  <si>
    <t>Bma013000.3</t>
  </si>
  <si>
    <t xml:space="preserve">uncharacterized protein LOC103451570 isoform X2 </t>
  </si>
  <si>
    <t>Bma013023.1</t>
  </si>
  <si>
    <t xml:space="preserve">ubiquitin-conjugating enzyme E2 variant 1B </t>
  </si>
  <si>
    <t>Bma013043.2</t>
  </si>
  <si>
    <t xml:space="preserve">non-lysosomal glucosylceramidase </t>
  </si>
  <si>
    <t>Bma013052.1</t>
  </si>
  <si>
    <t>Metallo-hydrolase</t>
  </si>
  <si>
    <t>Bma013076.1</t>
  </si>
  <si>
    <t xml:space="preserve">LAG1 longevity assurance isoform 2, partial  </t>
  </si>
  <si>
    <t>Bma013115.2</t>
  </si>
  <si>
    <t xml:space="preserve">hypothetical protein Csa_5G606560 </t>
  </si>
  <si>
    <t>Bma013119.1</t>
  </si>
  <si>
    <t xml:space="preserve">eukaryotic translation initiation factor 5A </t>
  </si>
  <si>
    <t>Bma013168.1</t>
  </si>
  <si>
    <t xml:space="preserve">uncharacterized protein At4g28440 isoform X1  </t>
  </si>
  <si>
    <t>Bma013195.1</t>
  </si>
  <si>
    <t xml:space="preserve">uncharacterized protein LOC101290763 </t>
  </si>
  <si>
    <t>Bma013196.1</t>
  </si>
  <si>
    <t xml:space="preserve">lysM domain receptor-like kinase 3 </t>
  </si>
  <si>
    <t>Bma013208.1</t>
  </si>
  <si>
    <t>Bma013224.1</t>
  </si>
  <si>
    <t xml:space="preserve">urease isoform X1  </t>
  </si>
  <si>
    <t>Bma013242.3</t>
  </si>
  <si>
    <t xml:space="preserve">squamosa promoter-binding-like protein 2 </t>
  </si>
  <si>
    <t>Bma013277.2</t>
  </si>
  <si>
    <t xml:space="preserve">uncharacterized protein C23H3.12c </t>
  </si>
  <si>
    <t>Bma013365.1</t>
  </si>
  <si>
    <t xml:space="preserve">probable 2-oxoglutarate-dependent dioxygenase AOP1 isoform X1 </t>
  </si>
  <si>
    <t>Bma013393.1</t>
  </si>
  <si>
    <t xml:space="preserve">cell division control protein 2 homolog C </t>
  </si>
  <si>
    <t>Bma013443.1</t>
  </si>
  <si>
    <t>Bma013454.2</t>
  </si>
  <si>
    <t xml:space="preserve">probable pre-mRNA-splicing factor ATP-dependent RNA helicase </t>
  </si>
  <si>
    <t>Bma013513.2</t>
  </si>
  <si>
    <t xml:space="preserve">hypothetical protein B456_008G011100 </t>
  </si>
  <si>
    <t>Bma013515.1</t>
  </si>
  <si>
    <t xml:space="preserve">spermatogenesis-associated protein 20 </t>
  </si>
  <si>
    <t>Bma013617.1</t>
  </si>
  <si>
    <t>LOW QUALITY PROTEIN: serine</t>
  </si>
  <si>
    <t>Bma013762.2</t>
  </si>
  <si>
    <t xml:space="preserve">probable indole-3-pyruvate monooxygenase YUCCA5  </t>
  </si>
  <si>
    <t>Bma014061.1</t>
  </si>
  <si>
    <t xml:space="preserve">hypothetical protein VITISV_031635 </t>
  </si>
  <si>
    <t>Bma014398.1</t>
  </si>
  <si>
    <t xml:space="preserve">uncharacterized protein LOC103487679 </t>
  </si>
  <si>
    <t>Bma014405.2</t>
  </si>
  <si>
    <t>probable starch synthase 4, chloroplastic</t>
  </si>
  <si>
    <t>Bma014491.2</t>
  </si>
  <si>
    <t xml:space="preserve">probable indole-3-pyruvate monooxygenase YUCCA4  </t>
  </si>
  <si>
    <t>Bma014509.1</t>
  </si>
  <si>
    <t xml:space="preserve">uncharacterized protein LOC103947639  </t>
  </si>
  <si>
    <t>Bma014552.1</t>
  </si>
  <si>
    <t xml:space="preserve">multidrug resistance pump, putative </t>
  </si>
  <si>
    <t>Bma014580.1</t>
  </si>
  <si>
    <t xml:space="preserve">hypothetical protein PRUPE_ppa022569mg, partial  </t>
  </si>
  <si>
    <t>Bma014589.1</t>
  </si>
  <si>
    <t>Bma014669.1</t>
  </si>
  <si>
    <t xml:space="preserve">hypothetical protein EUTSA_v10000589mg  </t>
  </si>
  <si>
    <t>Bma014699.1</t>
  </si>
  <si>
    <t xml:space="preserve">uncharacterized protein LOC103499277 isoform X2 </t>
  </si>
  <si>
    <t>Bma014755.1</t>
  </si>
  <si>
    <t xml:space="preserve">hypothetical protein CICLE_v10032237mg  </t>
  </si>
  <si>
    <t>Bma014780.1</t>
  </si>
  <si>
    <t xml:space="preserve">probable protein phosphatase 2C 2 </t>
  </si>
  <si>
    <t>Bma014835.1</t>
  </si>
  <si>
    <t xml:space="preserve">putative cysteine-rich receptor-like protein kinase 43 </t>
  </si>
  <si>
    <t>Bma014878.1</t>
  </si>
  <si>
    <t xml:space="preserve">probable inactive receptor kinase At1g27190 </t>
  </si>
  <si>
    <t>Bma015014.1</t>
  </si>
  <si>
    <t xml:space="preserve">uncharacterized protein LOC100251878  </t>
  </si>
  <si>
    <t>Bma015016.1</t>
  </si>
  <si>
    <t xml:space="preserve">hypothetical protein L484_027187  </t>
  </si>
  <si>
    <t>Bma015147.1</t>
  </si>
  <si>
    <t xml:space="preserve">uncharacterized protein LOC100500317  </t>
  </si>
  <si>
    <t>Bma015368.1</t>
  </si>
  <si>
    <t xml:space="preserve">rop guanine nucleotide exchange factor 1 </t>
  </si>
  <si>
    <t>Bma015558.1</t>
  </si>
  <si>
    <t xml:space="preserve">U-box domain-containing protein 43-like  </t>
  </si>
  <si>
    <t>Bma015792.1</t>
  </si>
  <si>
    <t xml:space="preserve">Spliceosome protein-related, putative  </t>
  </si>
  <si>
    <t>Bma015803.1</t>
  </si>
  <si>
    <t xml:space="preserve">uncharacterized protein LOC100261066 </t>
  </si>
  <si>
    <t>Bma015874.1</t>
  </si>
  <si>
    <t xml:space="preserve">hypothetical protein PRUPE_ppa019644mg  </t>
  </si>
  <si>
    <t>Bma015969.1</t>
  </si>
  <si>
    <t xml:space="preserve">Pollen-specific protein SF3  </t>
  </si>
  <si>
    <t>Bma016001.1</t>
  </si>
  <si>
    <t xml:space="preserve">LOW QUALITY PROTEIN: brefeldin A-inhibited guanine nucleotide-exchange protein 5 </t>
  </si>
  <si>
    <t>Bma016011.1</t>
  </si>
  <si>
    <t xml:space="preserve">Multidrug resistance protein ABC transporter family  </t>
  </si>
  <si>
    <t>Bma016133.1</t>
  </si>
  <si>
    <t xml:space="preserve">uncharacterized aarF domain-containing protein kinase At1g79600, chloroplastic </t>
  </si>
  <si>
    <t>Bma016191.2</t>
  </si>
  <si>
    <t>Bma016220.1</t>
  </si>
  <si>
    <t xml:space="preserve">riboflavin synthase-like </t>
  </si>
  <si>
    <t>Bma016238.1</t>
  </si>
  <si>
    <t xml:space="preserve">inactive TPR repeat-containing thioredoxin TTL3-like  </t>
  </si>
  <si>
    <t>Bma016287.1</t>
  </si>
  <si>
    <t xml:space="preserve">probable choline kinase 2 isoform X4 </t>
  </si>
  <si>
    <t>Bma016385.1</t>
  </si>
  <si>
    <t xml:space="preserve">ABC transporter B family member 20  </t>
  </si>
  <si>
    <t>Bma016416.1</t>
  </si>
  <si>
    <t xml:space="preserve">hypothetical protein PRUPE_ppa011474mg  </t>
  </si>
  <si>
    <t>Bma016517.1</t>
  </si>
  <si>
    <t xml:space="preserve">lethal(2) giant larvae protein homolog SRO77 isoform X1 </t>
  </si>
  <si>
    <t>Bma016547.1</t>
  </si>
  <si>
    <t xml:space="preserve">hypothetical protein POPTR_0010s20310g  </t>
  </si>
  <si>
    <t>Bma016583.3</t>
  </si>
  <si>
    <t xml:space="preserve">uncharacterized protein LOC103434602 </t>
  </si>
  <si>
    <t>Bma016596.2</t>
  </si>
  <si>
    <t xml:space="preserve">nitrilase-like protein 2 </t>
  </si>
  <si>
    <t>Bma016606.1</t>
  </si>
  <si>
    <t xml:space="preserve">hypothetical protein PRUPE_ppa001443mg  </t>
  </si>
  <si>
    <t>Bma016643.1</t>
  </si>
  <si>
    <t xml:space="preserve">malate dehydrogenase , chloroplastic-like </t>
  </si>
  <si>
    <t>Bma016652.1</t>
  </si>
  <si>
    <t xml:space="preserve">OTU domain-containing protein At3g57810-like  </t>
  </si>
  <si>
    <t>Bma016707.2</t>
  </si>
  <si>
    <t xml:space="preserve">uncharacterized protein LOC103343530 </t>
  </si>
  <si>
    <t>Bma016735.1</t>
  </si>
  <si>
    <t xml:space="preserve">myosin-1 </t>
  </si>
  <si>
    <t>Bma016789.1</t>
  </si>
  <si>
    <t xml:space="preserve">oxidoreductase family protein  </t>
  </si>
  <si>
    <t>Bma016798.2</t>
  </si>
  <si>
    <t xml:space="preserve">bZIP transcription factor TRAB1  </t>
  </si>
  <si>
    <t>Bma016801.1</t>
  </si>
  <si>
    <t>probable LRR receptor-like serine</t>
  </si>
  <si>
    <t>Bma016812.1</t>
  </si>
  <si>
    <t xml:space="preserve">phragmoplast orienting kinesin 2 </t>
  </si>
  <si>
    <t>Bma016837.3</t>
  </si>
  <si>
    <t xml:space="preserve">uncharacterized protein LOC101220316  </t>
  </si>
  <si>
    <t>Bma016864.2</t>
  </si>
  <si>
    <t xml:space="preserve">hypothetical protein PRUPE_ppa001038mg  </t>
  </si>
  <si>
    <t>Bma017013.1</t>
  </si>
  <si>
    <t xml:space="preserve">lipoyl synthase  </t>
  </si>
  <si>
    <t>Bma017083.1</t>
  </si>
  <si>
    <t xml:space="preserve">probable boron transporter 2 </t>
  </si>
  <si>
    <t>Bma017095.1</t>
  </si>
  <si>
    <t xml:space="preserve">uncharacterized protein LOC105157258 </t>
  </si>
  <si>
    <t>Bma017108.1</t>
  </si>
  <si>
    <t xml:space="preserve">E2F transcription factor-like E2FE isoform X2 </t>
  </si>
  <si>
    <t>Bma017279.1</t>
  </si>
  <si>
    <t xml:space="preserve">ribosome biogenesis protein TSR3 homolog </t>
  </si>
  <si>
    <t>Bma017299.1</t>
  </si>
  <si>
    <t xml:space="preserve">transcription factor bHLH121-like </t>
  </si>
  <si>
    <t>Bma017587.2</t>
  </si>
  <si>
    <t xml:space="preserve">splicing factor U2AF-associated protein 2 </t>
  </si>
  <si>
    <t>Bma017630.1</t>
  </si>
  <si>
    <t xml:space="preserve">3-hydroxyacyl-CoA dehydratase </t>
  </si>
  <si>
    <t>Bma017838.1</t>
  </si>
  <si>
    <t xml:space="preserve">MEI2-like protein 5 isoform 5  </t>
  </si>
  <si>
    <t>Bma018459.1</t>
  </si>
  <si>
    <t xml:space="preserve">Long chain acyl-CoA synthetase 9, chloroplastic -like protein </t>
  </si>
  <si>
    <t>Bma018466.3</t>
  </si>
  <si>
    <t xml:space="preserve">protein translocase subunit SECA2, chloroplastic </t>
  </si>
  <si>
    <t>Bma018651.1</t>
  </si>
  <si>
    <t xml:space="preserve">J domain-containing protein required for chloroplast accumulation response 1 isoform X2 </t>
  </si>
  <si>
    <t>Bma018657.1</t>
  </si>
  <si>
    <t xml:space="preserve">DUF21 domain-containing protein At1g47330 </t>
  </si>
  <si>
    <t>Bma018692.1</t>
  </si>
  <si>
    <t xml:space="preserve">filament-like plant protein 4  </t>
  </si>
  <si>
    <t>Bma018710.1</t>
  </si>
  <si>
    <t xml:space="preserve">uncharacterized protein LOC101216804  </t>
  </si>
  <si>
    <t>Bma018746.2</t>
  </si>
  <si>
    <t xml:space="preserve">Fanconi anemia group J protein homolog </t>
  </si>
  <si>
    <t>Bma018795.1</t>
  </si>
  <si>
    <t xml:space="preserve">hypothetical protein VITISV_043156 </t>
  </si>
  <si>
    <t>Bma018833.1</t>
  </si>
  <si>
    <t xml:space="preserve">hypothetical protein CISIN_1g0071271mg, partial </t>
  </si>
  <si>
    <t>Bma018850.1</t>
  </si>
  <si>
    <t xml:space="preserve">exocyst complex component SEC6  </t>
  </si>
  <si>
    <t>Bma018874.1</t>
  </si>
  <si>
    <t xml:space="preserve">Class III HD-Zip protein 8 isoform 3  </t>
  </si>
  <si>
    <t>Bma018906.1</t>
  </si>
  <si>
    <t xml:space="preserve">hypothetical protein VITISV_039910 </t>
  </si>
  <si>
    <t>Bma019007.1</t>
  </si>
  <si>
    <t>Bma019069.3</t>
  </si>
  <si>
    <t xml:space="preserve">WD repeat-containing protein 3  </t>
  </si>
  <si>
    <t>Bma019076.1</t>
  </si>
  <si>
    <t xml:space="preserve">protein SHOOT GRAVITROPISM 6 </t>
  </si>
  <si>
    <t>Bma019097.1</t>
  </si>
  <si>
    <t xml:space="preserve">uncharacterized protein LOC8284538 isoform X2 </t>
  </si>
  <si>
    <t>Bma019192.1</t>
  </si>
  <si>
    <t>putative serine</t>
  </si>
  <si>
    <t>Bma019298.1</t>
  </si>
  <si>
    <t>Bma019385.1</t>
  </si>
  <si>
    <t xml:space="preserve">uncharacterized protein LOC100266157 isoform X2 </t>
  </si>
  <si>
    <t>Bma019403.2</t>
  </si>
  <si>
    <t xml:space="preserve">hypothetical protein PRUPE_ppa012528mg  </t>
  </si>
  <si>
    <t>Bma019410.1</t>
  </si>
  <si>
    <t xml:space="preserve">uncharacterized protein LOC103498959 </t>
  </si>
  <si>
    <t>Bma019512.1</t>
  </si>
  <si>
    <t xml:space="preserve">hypothetical protein POPTR_0014s10380g  </t>
  </si>
  <si>
    <t>Bma019670.1</t>
  </si>
  <si>
    <t xml:space="preserve">Peroxisomal 3-ketoacyl-CoA thiolase 3 isoform 1  </t>
  </si>
  <si>
    <t>Bma019855.1</t>
  </si>
  <si>
    <t xml:space="preserve">probable GPI-anchored adhesin-like protein PGA55 </t>
  </si>
  <si>
    <t>Bma019906.2</t>
  </si>
  <si>
    <t xml:space="preserve">TBC1 domain family member 13 </t>
  </si>
  <si>
    <t>Bma019959.1</t>
  </si>
  <si>
    <t xml:space="preserve">Cc-nbs-lrr resistance protein, putative  </t>
  </si>
  <si>
    <t>Bma020212.1</t>
  </si>
  <si>
    <t>Bma020288.1</t>
  </si>
  <si>
    <t xml:space="preserve">uncharacterized protein LOC103338950 isoform X2 </t>
  </si>
  <si>
    <t>Bma020339.1</t>
  </si>
  <si>
    <t xml:space="preserve">transcription elongation factor SPT6 </t>
  </si>
  <si>
    <t>Bma020407.1</t>
  </si>
  <si>
    <t xml:space="preserve">probable E3 ubiquitin-protein ligase BAH1-like </t>
  </si>
  <si>
    <t>Bma020476.1</t>
  </si>
  <si>
    <t xml:space="preserve">hypothetical protein VITISV_010428 </t>
  </si>
  <si>
    <t>Bma020528.1</t>
  </si>
  <si>
    <t xml:space="preserve">protein ROS1  </t>
  </si>
  <si>
    <t>Bma020558.1</t>
  </si>
  <si>
    <t xml:space="preserve">S-adenosylmethionine synthetase </t>
  </si>
  <si>
    <t>Bma020560.2</t>
  </si>
  <si>
    <t xml:space="preserve">Lysine decarboxylase family protein isoform 1  </t>
  </si>
  <si>
    <t>Bma020704.1</t>
  </si>
  <si>
    <t xml:space="preserve">RNA-binding protein 24-A isoform X1  </t>
  </si>
  <si>
    <t>Bma020709.1</t>
  </si>
  <si>
    <t xml:space="preserve">LOW QUALITY PROTEIN: Niemann-Pick C1 protein </t>
  </si>
  <si>
    <t>Bma021072.4</t>
  </si>
  <si>
    <t xml:space="preserve">uncharacterized protein LOC101210893  </t>
  </si>
  <si>
    <t>Bma021242.1</t>
  </si>
  <si>
    <t xml:space="preserve">pentatricopeptide repeat-containing protein MRL1, chloroplastic </t>
  </si>
  <si>
    <t>Bma021456.1</t>
  </si>
  <si>
    <t xml:space="preserve">probable receptor-like protein kinase At1g49730 isoform X2 </t>
  </si>
  <si>
    <t>Bma021513.1</t>
  </si>
  <si>
    <t xml:space="preserve">caffeic acid 3-O-methyltransferase-like </t>
  </si>
  <si>
    <t>Bma021823.1</t>
  </si>
  <si>
    <t xml:space="preserve">hypothetical protein POPTR_0003s08080g  </t>
  </si>
  <si>
    <t>Bma021984.1</t>
  </si>
  <si>
    <t xml:space="preserve">hypothetical protein VITISV_003214 </t>
  </si>
  <si>
    <t>Bma022007.1</t>
  </si>
  <si>
    <t xml:space="preserve">26S proteasome non-ATPase regulatory subunit 8 homolog A-like </t>
  </si>
  <si>
    <t>Bma022129.2</t>
  </si>
  <si>
    <t xml:space="preserve">histone-lysine N-methyltransferase ATX2 isoform X1  </t>
  </si>
  <si>
    <t>Bma022139.1</t>
  </si>
  <si>
    <t xml:space="preserve">dihydrolipoyl dehydrogenase 1, mitochondrial  </t>
  </si>
  <si>
    <t>Bma022147.2</t>
  </si>
  <si>
    <t>Bma022148.2</t>
  </si>
  <si>
    <t xml:space="preserve">probable protein phosphatase 2C 42 </t>
  </si>
  <si>
    <t>Bma022243.1</t>
  </si>
  <si>
    <t xml:space="preserve">CWF19-like protein 2 homolog, partial </t>
  </si>
  <si>
    <t>Bma022270.1</t>
  </si>
  <si>
    <t xml:space="preserve">uncharacterized protein LOC103935859 </t>
  </si>
  <si>
    <t>Bma022411.1</t>
  </si>
  <si>
    <t>Bma022427.1</t>
  </si>
  <si>
    <t>Bma022568.2</t>
  </si>
  <si>
    <t xml:space="preserve">S-locus lectin protein kinase family protein  </t>
  </si>
  <si>
    <t>Bma022661.1</t>
  </si>
  <si>
    <t xml:space="preserve">kinesin-like protein NACK1  </t>
  </si>
  <si>
    <t>Bma022668.1</t>
  </si>
  <si>
    <t xml:space="preserve">peroxisome biogenesis protein 3-2  </t>
  </si>
  <si>
    <t>Bma022674.2</t>
  </si>
  <si>
    <t xml:space="preserve">putative ADP-ribosylation factor GTPase-activating protein AGD11  </t>
  </si>
  <si>
    <t>Bma022688.1</t>
  </si>
  <si>
    <t>Bma022706.1</t>
  </si>
  <si>
    <t xml:space="preserve">uncharacterized protein LOC104419639  </t>
  </si>
  <si>
    <t>Bma022707.1</t>
  </si>
  <si>
    <t xml:space="preserve">vacuolar protein sorting-associated protein 35A-like </t>
  </si>
  <si>
    <t>Bma022749.1</t>
  </si>
  <si>
    <t xml:space="preserve">transcription factor TGA1 isoform X1  </t>
  </si>
  <si>
    <t>Bma022781.4</t>
  </si>
  <si>
    <t xml:space="preserve">Formin-like protein 20  </t>
  </si>
  <si>
    <t>Bma022784.1</t>
  </si>
  <si>
    <t xml:space="preserve">hypothetical protein PRUPE_ppa009955mg  </t>
  </si>
  <si>
    <t>Bma022844.1</t>
  </si>
  <si>
    <t xml:space="preserve">protein RKD2-like </t>
  </si>
  <si>
    <t>Bma023332.3</t>
  </si>
  <si>
    <t xml:space="preserve">exocyst complex component EXO84B </t>
  </si>
  <si>
    <t>Bma023346.1</t>
  </si>
  <si>
    <t xml:space="preserve">hypothetical protein PRUPE_ppa000071mg  </t>
  </si>
  <si>
    <t>Bma023516.1</t>
  </si>
  <si>
    <t>Bma023711.1</t>
  </si>
  <si>
    <t xml:space="preserve">protein GDAP2 homolog isoform X1 </t>
  </si>
  <si>
    <t>Bma023824.1</t>
  </si>
  <si>
    <t xml:space="preserve">chitinase 10  </t>
  </si>
  <si>
    <t>Bma023973.1</t>
  </si>
  <si>
    <t>ribulose-1,5 bisphosphate carboxylase</t>
  </si>
  <si>
    <t>Bma024122.1</t>
  </si>
  <si>
    <t xml:space="preserve">microtubule-associated protein TORTIFOLIA1 isoform X1 </t>
  </si>
  <si>
    <t>Bma024185.2</t>
  </si>
  <si>
    <t xml:space="preserve">endoglucanase 8-like  </t>
  </si>
  <si>
    <t>Bma024309.1</t>
  </si>
  <si>
    <t xml:space="preserve">mechanosensitive ion channel protein 1, mitochondrial isoform X1 </t>
  </si>
  <si>
    <t>Bma024313.1</t>
  </si>
  <si>
    <t xml:space="preserve">Homeodomain-like superfamily protein  </t>
  </si>
  <si>
    <t>Bma024378.1</t>
  </si>
  <si>
    <t xml:space="preserve">Werner Syndrome-like exonuclease isoform X2 </t>
  </si>
  <si>
    <t>Bma024449.1</t>
  </si>
  <si>
    <t xml:space="preserve">Uncharacterized protein TCM_008586  </t>
  </si>
  <si>
    <t>Bma024496.1</t>
  </si>
  <si>
    <t xml:space="preserve">F-box protein At5g51370-like </t>
  </si>
  <si>
    <t>Bma024512.1</t>
  </si>
  <si>
    <t xml:space="preserve">hypothetical protein CISIN_1g001815mg  </t>
  </si>
  <si>
    <t>Bma024548.1</t>
  </si>
  <si>
    <t xml:space="preserve">Signal peptide peptidase family protein, expressed isoform 1  </t>
  </si>
  <si>
    <t>Bma024572.2</t>
  </si>
  <si>
    <t xml:space="preserve">galactokinase 1 </t>
  </si>
  <si>
    <t>Bma024715.1</t>
  </si>
  <si>
    <t xml:space="preserve">Cryptochrome 2 isoform 1  </t>
  </si>
  <si>
    <t>Bma024786.2</t>
  </si>
  <si>
    <t xml:space="preserve">homeobox protein SBH1  </t>
  </si>
  <si>
    <t>Bma024824.1</t>
  </si>
  <si>
    <t xml:space="preserve">Tetratricopeptide repeat (TPR)-containing protein  </t>
  </si>
  <si>
    <t>Bma025079.4</t>
  </si>
  <si>
    <t xml:space="preserve">protein argonaute 4-like  </t>
  </si>
  <si>
    <t>Bma025239.1</t>
  </si>
  <si>
    <t xml:space="preserve">deSI-like protein At4g17486 </t>
  </si>
  <si>
    <t>Bma025375.1</t>
  </si>
  <si>
    <t xml:space="preserve">phospholipid:diacylglycerol acyltransferase 1-like </t>
  </si>
  <si>
    <t>Bma025390.1</t>
  </si>
  <si>
    <t xml:space="preserve">uncharacterized protein LOC103929725 </t>
  </si>
  <si>
    <t>Bma025505.2</t>
  </si>
  <si>
    <t xml:space="preserve">uncharacterized protein LOC103486168 </t>
  </si>
  <si>
    <t>Bma025603.1</t>
  </si>
  <si>
    <t xml:space="preserve">NADPH--cytochrome P450 reductase 2-like  </t>
  </si>
  <si>
    <t>Bma025671.1</t>
  </si>
  <si>
    <t xml:space="preserve">protein TSS  </t>
  </si>
  <si>
    <t>Bma025737.1</t>
  </si>
  <si>
    <t>Bma025824.1</t>
  </si>
  <si>
    <t xml:space="preserve">hypothetical protein CISIN_1g023354mg </t>
  </si>
  <si>
    <t>Bma025861.1</t>
  </si>
  <si>
    <t>Bma025889.1</t>
  </si>
  <si>
    <t xml:space="preserve">separase isoform X2 </t>
  </si>
  <si>
    <t>Bma026136.1</t>
  </si>
  <si>
    <t xml:space="preserve">Signal recognition particle 14 kDa protein  </t>
  </si>
  <si>
    <t>Bma026156.1</t>
  </si>
  <si>
    <t xml:space="preserve">FAS-associated factor 2 </t>
  </si>
  <si>
    <t>Bma026309.1</t>
  </si>
  <si>
    <t>putative xyloglucan endotransglucosylase</t>
  </si>
  <si>
    <t>Bma026335.1</t>
  </si>
  <si>
    <t xml:space="preserve">Peptide methionine sulfoxide reductase  </t>
  </si>
  <si>
    <t>Bma026350.1</t>
  </si>
  <si>
    <t xml:space="preserve">putative pentatricopeptide repeat-containing protein At1g53330 </t>
  </si>
  <si>
    <t>Bma026354.1</t>
  </si>
  <si>
    <t xml:space="preserve">peptide methionine sulfoxide reductase B1, chloroplastic isoform X1 </t>
  </si>
  <si>
    <t>Bma026503.1</t>
  </si>
  <si>
    <t xml:space="preserve">meiotic recombination protein SPO11-1 </t>
  </si>
  <si>
    <t>Bma026539.2</t>
  </si>
  <si>
    <t xml:space="preserve">pirin-like protein </t>
  </si>
  <si>
    <t>Bma026589.1</t>
  </si>
  <si>
    <t xml:space="preserve">pentatricopeptide repeat-containing protein At4g04790, mitochondrial-like </t>
  </si>
  <si>
    <t>Bma026599.1</t>
  </si>
  <si>
    <t xml:space="preserve">tRNA (guanine(37)-N1)-methyltransferase, putative  </t>
  </si>
  <si>
    <t>Bma026605.1</t>
  </si>
  <si>
    <t xml:space="preserve">hypothetical protein PRUPE_ppa010587mg  </t>
  </si>
  <si>
    <t>Bma026611.2</t>
  </si>
  <si>
    <t>Bma026641.1</t>
  </si>
  <si>
    <t xml:space="preserve">AT1G55490 </t>
  </si>
  <si>
    <t>Bma026670.1</t>
  </si>
  <si>
    <t xml:space="preserve">phytochromobilin:ferredoxin oxidoreductase, chloroplastic  </t>
  </si>
  <si>
    <t>Bma026727.1</t>
  </si>
  <si>
    <t xml:space="preserve">vesicle-associated membrane protein 714-like </t>
  </si>
  <si>
    <t>Bma026739.1</t>
  </si>
  <si>
    <t xml:space="preserve">transcription factor TGA2 isoform X3 </t>
  </si>
  <si>
    <t>Bma026740.4</t>
  </si>
  <si>
    <t xml:space="preserve">hypothetical protein VITISV_030210 </t>
  </si>
  <si>
    <t>Bma026762.1</t>
  </si>
  <si>
    <t xml:space="preserve">coiled-coil domain-containing protein 132  </t>
  </si>
  <si>
    <t>Bma026789.1</t>
  </si>
  <si>
    <t xml:space="preserve">homeobox-leucine zipper protein REVOLUTA  </t>
  </si>
  <si>
    <t>Bma026826.1</t>
  </si>
  <si>
    <t xml:space="preserve">THO complex subunit 4A  </t>
  </si>
  <si>
    <t>Bma026842.1</t>
  </si>
  <si>
    <t xml:space="preserve">hypothetical protein L484_025271  </t>
  </si>
  <si>
    <t>Bma026856.1</t>
  </si>
  <si>
    <t xml:space="preserve">DNA-directed RNA polymerases I and III subunit RPAC2  </t>
  </si>
  <si>
    <t>Bma026888.1</t>
  </si>
  <si>
    <t xml:space="preserve">uncharacterized protein LOC103482602  </t>
  </si>
  <si>
    <t>Bma026959.1</t>
  </si>
  <si>
    <t xml:space="preserve">hypothetical protein POPTR_0003s13040g  </t>
  </si>
  <si>
    <t>Bma027124.1</t>
  </si>
  <si>
    <t xml:space="preserve">protein argonaute 1  </t>
  </si>
  <si>
    <t>Bma027187.2</t>
  </si>
  <si>
    <t xml:space="preserve">betaine aldehyde dehydrogenase 1, chloroplastic  </t>
  </si>
  <si>
    <t>Bma027217.1</t>
  </si>
  <si>
    <t xml:space="preserve">uncharacterized protein LOC8277381  </t>
  </si>
  <si>
    <t>Bma027344.1</t>
  </si>
  <si>
    <t xml:space="preserve">hypothetical protein PRUPE_ppa026080mg, partial  </t>
  </si>
  <si>
    <t>Bma027383.1</t>
  </si>
  <si>
    <t xml:space="preserve">XB3 in isoform 1  </t>
  </si>
  <si>
    <t>Bma027388.1</t>
  </si>
  <si>
    <t>Arginine</t>
  </si>
  <si>
    <t>Bma027459.1</t>
  </si>
  <si>
    <t xml:space="preserve">RWP-RK domain-containing protein, putative  </t>
  </si>
  <si>
    <t>Bma027527.1</t>
  </si>
  <si>
    <t xml:space="preserve">MLO-like protein 1 </t>
  </si>
  <si>
    <t>Bma027709.1</t>
  </si>
  <si>
    <t xml:space="preserve">60S ribosomal protein L35 </t>
  </si>
  <si>
    <t>Bma027839.1</t>
  </si>
  <si>
    <t xml:space="preserve">hypothetical protein PRUPE_ppa001980mg  </t>
  </si>
  <si>
    <t>Bma028035.1</t>
  </si>
  <si>
    <t>ribonuclease E</t>
  </si>
  <si>
    <t>Bma028039.2</t>
  </si>
  <si>
    <t xml:space="preserve">B-box type zinc finger protein with CCT domain isoform 1  </t>
  </si>
  <si>
    <t>Bma028078.2</t>
  </si>
  <si>
    <t xml:space="preserve">epidermal growth factor receptor substrate 15-like </t>
  </si>
  <si>
    <t>Bma028165.1</t>
  </si>
  <si>
    <t xml:space="preserve">kinesin-related protein 11 isoform X2 </t>
  </si>
  <si>
    <t>Bma028178.1</t>
  </si>
  <si>
    <t xml:space="preserve">enolase-phosphatase E1  </t>
  </si>
  <si>
    <t>Bma028447.1</t>
  </si>
  <si>
    <t xml:space="preserve">poly(A) RNA polymerase GLD2 isoform X2  </t>
  </si>
  <si>
    <t>Bma028572.1</t>
  </si>
  <si>
    <t>U4</t>
  </si>
  <si>
    <t>Bma028574.1</t>
  </si>
  <si>
    <t xml:space="preserve">-lysine N-methyltransferase, chloroplastic </t>
  </si>
  <si>
    <t>Bma028599.1</t>
  </si>
  <si>
    <t xml:space="preserve">uncharacterized protein LOC103332357 isoform X2 </t>
  </si>
  <si>
    <t>Bma028610.1</t>
  </si>
  <si>
    <t xml:space="preserve">Serine carboxypeptidase S28 family protein  </t>
  </si>
  <si>
    <t>Bma028624.1</t>
  </si>
  <si>
    <t xml:space="preserve">cationic amino acid transporter 6, chloroplastic </t>
  </si>
  <si>
    <t>Bma028627.1</t>
  </si>
  <si>
    <t>Bma028631.2</t>
  </si>
  <si>
    <t xml:space="preserve">DNA-directed RNA polymerase I subunit RPA2 </t>
  </si>
  <si>
    <t>Bma029076.1</t>
  </si>
  <si>
    <t xml:space="preserve">Transcription factor APETALA2 isoform 1  </t>
  </si>
  <si>
    <t>Bma029517.1</t>
  </si>
  <si>
    <t xml:space="preserve">hypothetical protein PRUPE_ppa000405mg  </t>
  </si>
  <si>
    <t>Bma029625.1</t>
  </si>
  <si>
    <t>Peptidase S24</t>
  </si>
  <si>
    <t>Bma029626.2</t>
  </si>
  <si>
    <t>Bma029674.4</t>
  </si>
  <si>
    <t xml:space="preserve">hypothetical protein PHAVU_001G157400g  </t>
  </si>
  <si>
    <t>Bma029692.1</t>
  </si>
  <si>
    <t xml:space="preserve">uncharacterized protein LOC100263200 </t>
  </si>
  <si>
    <t>Bma029723.1</t>
  </si>
  <si>
    <t xml:space="preserve">hypothetical protein PRUPE_ppa005259mg  </t>
  </si>
  <si>
    <t>Bma029848.1</t>
  </si>
  <si>
    <t xml:space="preserve">HAUS augmin-like complex subunit 3 </t>
  </si>
  <si>
    <t>Bma029877.1</t>
  </si>
  <si>
    <t>phosphoribosylformylglycinamidine cyclo-ligase, chloroplastic</t>
  </si>
  <si>
    <t>Bma029941.1</t>
  </si>
  <si>
    <t xml:space="preserve">Pto-interacting 1 </t>
  </si>
  <si>
    <t>Bma029949.1</t>
  </si>
  <si>
    <t xml:space="preserve">sacsin </t>
  </si>
  <si>
    <t>Bma030039.1</t>
  </si>
  <si>
    <t xml:space="preserve">disease resistance protein RGA2-like </t>
  </si>
  <si>
    <t>Bma030051.1</t>
  </si>
  <si>
    <t>Bma030060.1</t>
  </si>
  <si>
    <t xml:space="preserve">hypothetical protein PRUPE_ppa002586mg  </t>
  </si>
  <si>
    <t>Bma030115.1</t>
  </si>
  <si>
    <t xml:space="preserve">LOW QUALITY PROTEIN: midasin </t>
  </si>
  <si>
    <t>Bma030127.1</t>
  </si>
  <si>
    <t xml:space="preserve">aldehyde dehydrogenase family 7 member a1 turgor responsive family protein  </t>
  </si>
  <si>
    <t>Bma030166</t>
  </si>
  <si>
    <t xml:space="preserve">spermidine synthase family protein  </t>
  </si>
  <si>
    <t>Bma030271</t>
  </si>
  <si>
    <t xml:space="preserve">protein fluG </t>
  </si>
  <si>
    <t>Bma030312</t>
  </si>
  <si>
    <t>ER membrane protein complex subunit 8</t>
  </si>
  <si>
    <t>Bma030316</t>
  </si>
  <si>
    <t xml:space="preserve">nucleic acid binding protein, putative </t>
  </si>
  <si>
    <t>Bma030339</t>
  </si>
  <si>
    <t xml:space="preserve">NHL domain-containing protein, putative  </t>
  </si>
  <si>
    <t>Bma030438</t>
  </si>
  <si>
    <t xml:space="preserve">Photosystem II subunit Q-2  </t>
  </si>
  <si>
    <t>Bma030458</t>
  </si>
  <si>
    <t xml:space="preserve">cyclin-dependent kinase F-1 </t>
  </si>
  <si>
    <t>Bma030508</t>
  </si>
  <si>
    <t xml:space="preserve">50S ribosomal protein L19-1, chloroplastic-like  </t>
  </si>
  <si>
    <t>Bma030672</t>
  </si>
  <si>
    <t xml:space="preserve">uncharacterized protein LOC103502046 </t>
  </si>
  <si>
    <t>Bma030695</t>
  </si>
  <si>
    <t xml:space="preserve">60S ribosomal protein L32-1-like  </t>
  </si>
  <si>
    <t>Bma030794</t>
  </si>
  <si>
    <t xml:space="preserve">uncharacterized protein LOC107262284 </t>
  </si>
  <si>
    <t>Bma030806</t>
  </si>
  <si>
    <t xml:space="preserve">pentatricopeptide repeat-containing protein At1g79540  </t>
  </si>
  <si>
    <t>Bma030825</t>
  </si>
  <si>
    <t xml:space="preserve">putative kinase-like protein TMKL1 </t>
  </si>
  <si>
    <t>Bma030830</t>
  </si>
  <si>
    <t xml:space="preserve">hypothetical protein POPTR_0004s14210g  </t>
  </si>
  <si>
    <t>Bma030835</t>
  </si>
  <si>
    <t xml:space="preserve">protein WHI4 </t>
  </si>
  <si>
    <t>Bma030935</t>
  </si>
  <si>
    <t xml:space="preserve">C-8,7 sterol isomerase isoform 1  </t>
  </si>
  <si>
    <t>Bma030947</t>
  </si>
  <si>
    <t xml:space="preserve">probable galacturonosyltransferase 10 isoform X2 </t>
  </si>
  <si>
    <t>Bma030955</t>
  </si>
  <si>
    <t>Bma030981</t>
  </si>
  <si>
    <t xml:space="preserve">TBC1 domain family member 2A  </t>
  </si>
  <si>
    <t>Bma031011</t>
  </si>
  <si>
    <t>Bma031086</t>
  </si>
  <si>
    <t xml:space="preserve">uncharacterized protein ycf36 </t>
  </si>
  <si>
    <t>Bma031100</t>
  </si>
  <si>
    <t xml:space="preserve">ribosome biogenesis protein NSA2 homolog </t>
  </si>
  <si>
    <t>Bma031162</t>
  </si>
  <si>
    <t xml:space="preserve">exosome component 10 isoform X2 </t>
  </si>
  <si>
    <t>Bma031189</t>
  </si>
  <si>
    <t xml:space="preserve">protein BUD31 homolog 1-like  </t>
  </si>
  <si>
    <t>Bma031224</t>
  </si>
  <si>
    <t xml:space="preserve">protein pleiotropic regulatory locus 1 </t>
  </si>
  <si>
    <t>Bma031226</t>
  </si>
  <si>
    <t xml:space="preserve">nhx1 antiporter isoform X1  </t>
  </si>
  <si>
    <t>Bma031241</t>
  </si>
  <si>
    <t xml:space="preserve">chaperonin CPN60-2, mitochondrial isoform X1  </t>
  </si>
  <si>
    <t>Bma031248</t>
  </si>
  <si>
    <t xml:space="preserve">PsbP domain-containing protein 6, chloroplastic  </t>
  </si>
  <si>
    <t>Bma031303</t>
  </si>
  <si>
    <t xml:space="preserve">S-adenosyl-L-methionine-dependent methyltransferases superfamily protein  </t>
  </si>
  <si>
    <t>Bma031395</t>
  </si>
  <si>
    <t xml:space="preserve">HEAT repeat-containing protein 6 </t>
  </si>
  <si>
    <t>Bma031398</t>
  </si>
  <si>
    <t xml:space="preserve">Polyamine oxidase 2 isoform 3  </t>
  </si>
  <si>
    <t>Bma031487</t>
  </si>
  <si>
    <t xml:space="preserve">RNA pseudouridine synthase 5 isoform X2 </t>
  </si>
  <si>
    <t>Bma031545</t>
  </si>
  <si>
    <t xml:space="preserve">translation initiation factor eIF-2B subunit alpha-like </t>
  </si>
  <si>
    <t>Bma000188.1</t>
  </si>
  <si>
    <t xml:space="preserve">proteasome subunit beta type-5  </t>
  </si>
  <si>
    <t>Bma000225.1</t>
  </si>
  <si>
    <t xml:space="preserve">hypothetical protein Csa_5G080790 </t>
  </si>
  <si>
    <t>Bma000346.1</t>
  </si>
  <si>
    <t xml:space="preserve">thioredoxin-like 3-1, chloroplastic </t>
  </si>
  <si>
    <t>Bma000350.1</t>
  </si>
  <si>
    <t>nodulin MtN21</t>
  </si>
  <si>
    <t>Bma000421.1</t>
  </si>
  <si>
    <t xml:space="preserve">hypothetical protein VITISV_037530 </t>
  </si>
  <si>
    <t>Bma000443.1</t>
  </si>
  <si>
    <t xml:space="preserve">phosphoinositide phosphatase SAC3  </t>
  </si>
  <si>
    <t>Bma000449.2</t>
  </si>
  <si>
    <t xml:space="preserve">vacuolar protein sorting-associated protein 27-like </t>
  </si>
  <si>
    <t>Bma000458.2</t>
  </si>
  <si>
    <t xml:space="preserve">adenylate kinase 5, chloroplastic isoform X1 </t>
  </si>
  <si>
    <t>Bma000481.1</t>
  </si>
  <si>
    <t xml:space="preserve">UDP-sugar transporter sqv-7-like isoform X1 </t>
  </si>
  <si>
    <t>Bma000492.2</t>
  </si>
  <si>
    <t xml:space="preserve">uncharacterized protein LOC100243222 isoform X1 </t>
  </si>
  <si>
    <t>Bma000501.2</t>
  </si>
  <si>
    <t xml:space="preserve">hypothetical protein L484_013964  </t>
  </si>
  <si>
    <t>Bma000505.1</t>
  </si>
  <si>
    <t xml:space="preserve">serine carboxypeptidase II-2 </t>
  </si>
  <si>
    <t>Bma000516.1</t>
  </si>
  <si>
    <t xml:space="preserve">cytochrome c oxidase subunit 6b-2 </t>
  </si>
  <si>
    <t>Bma000566.1</t>
  </si>
  <si>
    <t xml:space="preserve">pathogenesis-related homeodomain protein isoform X1 </t>
  </si>
  <si>
    <t>Bma000576.2</t>
  </si>
  <si>
    <t>Bma000586.1</t>
  </si>
  <si>
    <t xml:space="preserve">pentatricopeptide repeat-containing protein At2g33680  </t>
  </si>
  <si>
    <t>Bma000598.1</t>
  </si>
  <si>
    <t xml:space="preserve">uncharacterized protein LOC105435656  </t>
  </si>
  <si>
    <t>Bma000608.1</t>
  </si>
  <si>
    <t xml:space="preserve">Kinase superfamily protein isoform 1  </t>
  </si>
  <si>
    <t>Bma000628.3</t>
  </si>
  <si>
    <t xml:space="preserve">uncharacterized PKHD-type hydroxylase At1g22950  </t>
  </si>
  <si>
    <t>Bma000634.1</t>
  </si>
  <si>
    <t xml:space="preserve">U-box domain-containing protein 4  </t>
  </si>
  <si>
    <t>Bma000639.1</t>
  </si>
  <si>
    <t xml:space="preserve">probable ADP-ribosylation factor GTPase-activating protein AGD11 </t>
  </si>
  <si>
    <t>Bma000768.1</t>
  </si>
  <si>
    <t xml:space="preserve">broad-range acid phosphatase DET1  </t>
  </si>
  <si>
    <t>Bma000807.3</t>
  </si>
  <si>
    <t xml:space="preserve">hypothetical protein B456_007G127300, partial </t>
  </si>
  <si>
    <t>Bma000915.1</t>
  </si>
  <si>
    <t xml:space="preserve">probable carboxylesterase 12 </t>
  </si>
  <si>
    <t>Bma000991.1</t>
  </si>
  <si>
    <t>Bma001000.1</t>
  </si>
  <si>
    <t xml:space="preserve">hypothetical protein PRUPE_ppa022554mg, partial  </t>
  </si>
  <si>
    <t>Bma001209.2</t>
  </si>
  <si>
    <t xml:space="preserve">Potassium transporter 8  </t>
  </si>
  <si>
    <t>Bma001262.1</t>
  </si>
  <si>
    <t xml:space="preserve">uncharacterized protein LOC103329984 isoform X2 </t>
  </si>
  <si>
    <t>Bma001284.1</t>
  </si>
  <si>
    <t xml:space="preserve">hypothetical protein B456_006G014900 </t>
  </si>
  <si>
    <t>Bma001287.1</t>
  </si>
  <si>
    <t xml:space="preserve">pentatricopeptide repeat-containing protein At5g15280 </t>
  </si>
  <si>
    <t>Bma001311.2</t>
  </si>
  <si>
    <t xml:space="preserve">hypothetical protein GLYMA_18G266400 </t>
  </si>
  <si>
    <t>Bma001387.1</t>
  </si>
  <si>
    <t xml:space="preserve">uncharacterized protein LOC101215741  </t>
  </si>
  <si>
    <t>Bma001544.1</t>
  </si>
  <si>
    <t xml:space="preserve">uncharacterized protein LOC103411356 </t>
  </si>
  <si>
    <t>Bma001813.1</t>
  </si>
  <si>
    <t xml:space="preserve">sterol 3-beta-glucosyltransferase UGT80B1 isoform X1 </t>
  </si>
  <si>
    <t>Bma002595.1</t>
  </si>
  <si>
    <t xml:space="preserve">putative Dol-P-Glc:Glc(2)Man(9)GlcNAc(2)-PP-Dol alpha-1,2-glucosyltransferase isoform X1 </t>
  </si>
  <si>
    <t>Bma002784.1</t>
  </si>
  <si>
    <t xml:space="preserve">UPF0554 protein C2orf43 homolog isoform X2 </t>
  </si>
  <si>
    <t>Bma002814.1</t>
  </si>
  <si>
    <t xml:space="preserve">Calcium-dependent protein kinase 2  </t>
  </si>
  <si>
    <t>Bma002854.1</t>
  </si>
  <si>
    <t xml:space="preserve">centromere-associated protein E isoform X1  </t>
  </si>
  <si>
    <t>Bma002972.3</t>
  </si>
  <si>
    <t xml:space="preserve">HBS1-like protein isoform X1 </t>
  </si>
  <si>
    <t>Bma003010.1</t>
  </si>
  <si>
    <t xml:space="preserve">trafficking protein particle complex II-specific subunit 120 homolog isoform X3 </t>
  </si>
  <si>
    <t>Bma003039.2</t>
  </si>
  <si>
    <t>Bma003052.1</t>
  </si>
  <si>
    <t xml:space="preserve">protein couch potato-like isoform X1 </t>
  </si>
  <si>
    <t>Bma003121.1</t>
  </si>
  <si>
    <t xml:space="preserve">kinesin-like protein FRA1  </t>
  </si>
  <si>
    <t>Bma003172.1</t>
  </si>
  <si>
    <t xml:space="preserve">cytochrome P450 734A1-like </t>
  </si>
  <si>
    <t>Bma003179.1</t>
  </si>
  <si>
    <t xml:space="preserve">uncharacterized protein LOC103320836 isoform X1 </t>
  </si>
  <si>
    <t>Bma003250.1</t>
  </si>
  <si>
    <t>Bma003266.1</t>
  </si>
  <si>
    <t xml:space="preserve">L-ascorbate oxidase homolog </t>
  </si>
  <si>
    <t>Bma003304.1</t>
  </si>
  <si>
    <t xml:space="preserve">hypothetical protein PRUPE_ppa020810mg  </t>
  </si>
  <si>
    <t>Bma003325.1</t>
  </si>
  <si>
    <t xml:space="preserve">RNA-binding family protein isoform 2, partial  </t>
  </si>
  <si>
    <t>Bma003391.2</t>
  </si>
  <si>
    <t xml:space="preserve">hypothetical protein LR48_Vigan02g201500  </t>
  </si>
  <si>
    <t>Bma003416.6</t>
  </si>
  <si>
    <t xml:space="preserve">putative 1-phosphatidylinositol-3-phosphate 5-kinase FAB1D isoform X3 </t>
  </si>
  <si>
    <t>Bma003450.1</t>
  </si>
  <si>
    <t xml:space="preserve">hypothetical protein CICLE_v10000476mg  </t>
  </si>
  <si>
    <t>Bma003471.1</t>
  </si>
  <si>
    <t xml:space="preserve">argininosuccinate lyase, chloroplastic-like </t>
  </si>
  <si>
    <t>Bma003508.1</t>
  </si>
  <si>
    <t xml:space="preserve">hypothetical protein CICLE_v10000913mg  </t>
  </si>
  <si>
    <t>Bma003538.1</t>
  </si>
  <si>
    <t xml:space="preserve">threonylcarbamoyladenosine tRNA methylthiotransferase-like isoform X1 </t>
  </si>
  <si>
    <t>Bma003643.1</t>
  </si>
  <si>
    <t xml:space="preserve">hypothetical protein CICLE_v10011300mg  </t>
  </si>
  <si>
    <t>Bma003659.1</t>
  </si>
  <si>
    <t xml:space="preserve">uncharacterized protein LOC100255176 </t>
  </si>
  <si>
    <t>Bma003778.2</t>
  </si>
  <si>
    <t xml:space="preserve">Calmodulin-binding family protein  </t>
  </si>
  <si>
    <t>Bma003805.1</t>
  </si>
  <si>
    <t xml:space="preserve">hypothetical protein PRUPE_ppa020526mg  </t>
  </si>
  <si>
    <t>Bma003809.1</t>
  </si>
  <si>
    <t xml:space="preserve">Uncharacterized protein TCM_024889  </t>
  </si>
  <si>
    <t>Bma003878.2</t>
  </si>
  <si>
    <t xml:space="preserve">hypothetical protein JCGZ_10726 </t>
  </si>
  <si>
    <t>Bma003916.1</t>
  </si>
  <si>
    <t>Bma003917.3</t>
  </si>
  <si>
    <t>Bma003950.1</t>
  </si>
  <si>
    <t xml:space="preserve">uncharacterized protein LOC103338565 </t>
  </si>
  <si>
    <t>Bma003972.1</t>
  </si>
  <si>
    <t xml:space="preserve">LOW QUALITY PROTEIN: CTD nuclear envelope phosphatase 1 homolog </t>
  </si>
  <si>
    <t>Bma003989.1</t>
  </si>
  <si>
    <t xml:space="preserve">Kelch-like protein diablo  </t>
  </si>
  <si>
    <t>Bma004052.1</t>
  </si>
  <si>
    <t xml:space="preserve">hypothetical protein PRUPE_ppa005501mg  </t>
  </si>
  <si>
    <t>Bma004065.1</t>
  </si>
  <si>
    <t xml:space="preserve">BnaC01g31000D </t>
  </si>
  <si>
    <t>Bma004070.1</t>
  </si>
  <si>
    <t xml:space="preserve">hypothetical protein PRUPE_ppa000811mg  </t>
  </si>
  <si>
    <t>Bma004117.1</t>
  </si>
  <si>
    <t>Bma004187.1</t>
  </si>
  <si>
    <t xml:space="preserve">probable 3-hydroxyacyl-CoA dehydrogenase B0272.3 </t>
  </si>
  <si>
    <t>Bma004244.2</t>
  </si>
  <si>
    <t xml:space="preserve">hypothetical protein L484_017834  </t>
  </si>
  <si>
    <t>Bma004410.1</t>
  </si>
  <si>
    <t xml:space="preserve">hypothetical protein VITISV_015801 </t>
  </si>
  <si>
    <t>Bma004539.1</t>
  </si>
  <si>
    <t xml:space="preserve">hypothetical protein Csa_7G452060 </t>
  </si>
  <si>
    <t>Bma004906.2</t>
  </si>
  <si>
    <t xml:space="preserve">uncharacterized protein LOC101213431  </t>
  </si>
  <si>
    <t>Bma004966.1</t>
  </si>
  <si>
    <t xml:space="preserve">sugar transporter ERD6-like 7  </t>
  </si>
  <si>
    <t>Bma005100.1</t>
  </si>
  <si>
    <t>Bma005318.1</t>
  </si>
  <si>
    <t xml:space="preserve">hypothetical protein L484_004326  </t>
  </si>
  <si>
    <t>Bma005480.1</t>
  </si>
  <si>
    <t xml:space="preserve">APS reductase 3 isoform 1  </t>
  </si>
  <si>
    <t>Bma005511.1</t>
  </si>
  <si>
    <t>Alpha</t>
  </si>
  <si>
    <t>Bma005527.2</t>
  </si>
  <si>
    <t xml:space="preserve">transcription repressor OFP4-like  </t>
  </si>
  <si>
    <t>Bma005535.1</t>
  </si>
  <si>
    <t xml:space="preserve">transcription initiation factor TFIID subunit 15b-like isoform X1  </t>
  </si>
  <si>
    <t>Bma005539.1</t>
  </si>
  <si>
    <t>Bma005584.1</t>
  </si>
  <si>
    <t xml:space="preserve">uncharacterized protein LOC103323299 </t>
  </si>
  <si>
    <t>Bma005585.1</t>
  </si>
  <si>
    <t xml:space="preserve">fasciclin-like arabinogalactan protein 4  </t>
  </si>
  <si>
    <t>Bma005597.1</t>
  </si>
  <si>
    <t xml:space="preserve">histone H2B-like </t>
  </si>
  <si>
    <t>Bma005602.1</t>
  </si>
  <si>
    <t xml:space="preserve">DNA repair protein RAD51 homolog 4 isoform X2 </t>
  </si>
  <si>
    <t>Bma005608.1</t>
  </si>
  <si>
    <t>Bma005624.1</t>
  </si>
  <si>
    <t xml:space="preserve">hypothetical protein POPTR_0009s05950g  </t>
  </si>
  <si>
    <t>Bma005630.1</t>
  </si>
  <si>
    <t xml:space="preserve">MLO-like protein 6  </t>
  </si>
  <si>
    <t>Bma005631.2</t>
  </si>
  <si>
    <t>Bma005652.2</t>
  </si>
  <si>
    <t xml:space="preserve">hypothetical protein PRUPE_ppa004104mg  </t>
  </si>
  <si>
    <t>Bma005654.1</t>
  </si>
  <si>
    <t xml:space="preserve">uncharacterized protein LOC100267173 </t>
  </si>
  <si>
    <t>Bma005670.1</t>
  </si>
  <si>
    <t>Bma005707.1</t>
  </si>
  <si>
    <t xml:space="preserve">uncharacterized protein LOC100263775 isoform X1 </t>
  </si>
  <si>
    <t>Bma005744.1</t>
  </si>
  <si>
    <t xml:space="preserve">hypothetical protein POPTR_0016s05220g  </t>
  </si>
  <si>
    <t>Bma005763.1</t>
  </si>
  <si>
    <t xml:space="preserve">uncharacterized protein LOC101207235 isoform X1  </t>
  </si>
  <si>
    <t>Bma005775.1</t>
  </si>
  <si>
    <t xml:space="preserve">hypothetical protein CICLE_v10015514mg  </t>
  </si>
  <si>
    <t>Bma005789.4</t>
  </si>
  <si>
    <t xml:space="preserve">uncharacterized protein LOC103496848 </t>
  </si>
  <si>
    <t>Bma005821.2</t>
  </si>
  <si>
    <t xml:space="preserve">hypothetical protein CICLE_v10014386mg  </t>
  </si>
  <si>
    <t>Bma005854.1</t>
  </si>
  <si>
    <t xml:space="preserve">RING finger protein 141  </t>
  </si>
  <si>
    <t>Bma005915.1</t>
  </si>
  <si>
    <t xml:space="preserve">nuclear transcription factor Y subunit A-7 isoform X2  </t>
  </si>
  <si>
    <t>Bma005993.1</t>
  </si>
  <si>
    <t xml:space="preserve">hypothetical protein JCGZ_07233 </t>
  </si>
  <si>
    <t>Bma006910.1</t>
  </si>
  <si>
    <t xml:space="preserve">methionine S-methyltransferase </t>
  </si>
  <si>
    <t>Bma006958.1</t>
  </si>
  <si>
    <t xml:space="preserve">serine racemase  </t>
  </si>
  <si>
    <t>Bma006967.1</t>
  </si>
  <si>
    <t xml:space="preserve">E3 ubiquitin-protein ligase At1g12760-like </t>
  </si>
  <si>
    <t>Bma006974.2</t>
  </si>
  <si>
    <t>Bma006978.1</t>
  </si>
  <si>
    <t xml:space="preserve">SPX domain-containing membrane protein At4g22990-like  </t>
  </si>
  <si>
    <t>Bma006996.1</t>
  </si>
  <si>
    <t xml:space="preserve">uncharacterized protein LOC105789557 </t>
  </si>
  <si>
    <t>Bma007029.3</t>
  </si>
  <si>
    <t xml:space="preserve">Heat shock protein STI  </t>
  </si>
  <si>
    <t>Bma007081.1</t>
  </si>
  <si>
    <t xml:space="preserve">uncharacterized protein LOC103436951 </t>
  </si>
  <si>
    <t>Bma007116.1</t>
  </si>
  <si>
    <t xml:space="preserve">two-component response regulator-like APRR2  </t>
  </si>
  <si>
    <t>Bma007119.1</t>
  </si>
  <si>
    <t>Bma007133.2</t>
  </si>
  <si>
    <t xml:space="preserve">uncharacterized protein LOC101220265 </t>
  </si>
  <si>
    <t>Bma007243.1</t>
  </si>
  <si>
    <t xml:space="preserve">oligopeptide transporter 4 </t>
  </si>
  <si>
    <t>Bma007316.1</t>
  </si>
  <si>
    <t xml:space="preserve">Light harvesting complex photosystem II subunit 6  </t>
  </si>
  <si>
    <t>Bma007674.1</t>
  </si>
  <si>
    <t xml:space="preserve">MATE efflux family protein 4, chloroplastic </t>
  </si>
  <si>
    <t>Bma007686.1</t>
  </si>
  <si>
    <t xml:space="preserve">SNF2 domain-containing protein CLASSY 3-like  </t>
  </si>
  <si>
    <t>Bma007774.3</t>
  </si>
  <si>
    <t xml:space="preserve">molybdenum cofactor sulfurase isoform X1  </t>
  </si>
  <si>
    <t>Bma007797.1</t>
  </si>
  <si>
    <t xml:space="preserve">LOW QUALITY PROTEIN: protein NLP7-like </t>
  </si>
  <si>
    <t>Bma007828.1</t>
  </si>
  <si>
    <t xml:space="preserve">putative pentatricopeptide repeat-containing protein At5g47460 </t>
  </si>
  <si>
    <t>Bma007835.1</t>
  </si>
  <si>
    <t xml:space="preserve">Tryptophan RNA-binding attenuator protein-like  </t>
  </si>
  <si>
    <t>Bma007848.1</t>
  </si>
  <si>
    <t xml:space="preserve">Vesicle-associated protein 2-1  </t>
  </si>
  <si>
    <t>Bma007921.1</t>
  </si>
  <si>
    <t xml:space="preserve">nucleobase-ascorbate transporter 1 isoform X1 </t>
  </si>
  <si>
    <t>Bma007967.1</t>
  </si>
  <si>
    <t>Bma008080.1</t>
  </si>
  <si>
    <t xml:space="preserve">glutamate receptor 3.4-like </t>
  </si>
  <si>
    <t>Bma008178.2</t>
  </si>
  <si>
    <t xml:space="preserve">heat shock protein 83 isoform X2 </t>
  </si>
  <si>
    <t>Bma008319.1</t>
  </si>
  <si>
    <t xml:space="preserve">heparanase-like protein 2  </t>
  </si>
  <si>
    <t>Bma008328.1</t>
  </si>
  <si>
    <t xml:space="preserve">Sensory transduction histidine kinase, putative isoform 1  </t>
  </si>
  <si>
    <t>Bma008386.1</t>
  </si>
  <si>
    <t>Bma008415.1</t>
  </si>
  <si>
    <t xml:space="preserve">radical S-adenosyl methionine domain-containing protein 1, mitochondrial </t>
  </si>
  <si>
    <t>Bma008438.1</t>
  </si>
  <si>
    <t xml:space="preserve">hypothetical protein B456_008G209600 </t>
  </si>
  <si>
    <t>Bma008509.1</t>
  </si>
  <si>
    <t xml:space="preserve">hypothetical protein EUGRSUZ_K00151 </t>
  </si>
  <si>
    <t>Bma008604.8</t>
  </si>
  <si>
    <t xml:space="preserve">hypothetical protein CISIN_1g010345mg </t>
  </si>
  <si>
    <t>Bma008647.2</t>
  </si>
  <si>
    <t xml:space="preserve">dnaJ homolog subfamily A member 2 </t>
  </si>
  <si>
    <t>Bma008720.1</t>
  </si>
  <si>
    <t xml:space="preserve">Reduced epidermal fluorescence 4, putative isoform 1  </t>
  </si>
  <si>
    <t>Bma008721.1</t>
  </si>
  <si>
    <t xml:space="preserve">sm-like protein LSM2  </t>
  </si>
  <si>
    <t>Bma008767.1</t>
  </si>
  <si>
    <t xml:space="preserve">uncharacterized protein LOC103494754 isoform X2 </t>
  </si>
  <si>
    <t>Bma008800.1</t>
  </si>
  <si>
    <t xml:space="preserve">glutamine--tRNA ligase-like </t>
  </si>
  <si>
    <t>Bma008814.1</t>
  </si>
  <si>
    <t xml:space="preserve">acyl-CoA--sterol O-acyltransferase 1-like </t>
  </si>
  <si>
    <t>Bma008854.1</t>
  </si>
  <si>
    <t xml:space="preserve">hypothetical protein CISIN_1g043182mg, partial </t>
  </si>
  <si>
    <t>Bma008887.1</t>
  </si>
  <si>
    <t xml:space="preserve">hypothetical protein B456_001G206300 </t>
  </si>
  <si>
    <t>Bma009027.1</t>
  </si>
  <si>
    <t xml:space="preserve">monothiol glutaredoxin-S14, chloroplastic </t>
  </si>
  <si>
    <t>Bma009031.1</t>
  </si>
  <si>
    <t xml:space="preserve">ABC transporter B family member 4-like  </t>
  </si>
  <si>
    <t>Bma009080.1</t>
  </si>
  <si>
    <t xml:space="preserve">protein BUD31 homolog 2 </t>
  </si>
  <si>
    <t>Bma009092.1</t>
  </si>
  <si>
    <t xml:space="preserve">hypothetical protein CISIN_1g047012mg </t>
  </si>
  <si>
    <t>Bma009130.1</t>
  </si>
  <si>
    <t>Bma009241.1</t>
  </si>
  <si>
    <t xml:space="preserve">uncharacterized protein LOC105647634  </t>
  </si>
  <si>
    <t>Bma009249.1</t>
  </si>
  <si>
    <t xml:space="preserve">hypothetical protein JCGZ_23467 </t>
  </si>
  <si>
    <t>Bma009361.1</t>
  </si>
  <si>
    <t xml:space="preserve">GTP-binding family protein  </t>
  </si>
  <si>
    <t>Bma009378.2</t>
  </si>
  <si>
    <t xml:space="preserve">probable methyltransferase PMT9  </t>
  </si>
  <si>
    <t>Bma009490.1</t>
  </si>
  <si>
    <t xml:space="preserve">putative protease Do-like 14  </t>
  </si>
  <si>
    <t>Bma009644.1</t>
  </si>
  <si>
    <t xml:space="preserve">heterogeneous nuclear ribonucleoprotein 1-like  </t>
  </si>
  <si>
    <t>Bma009992.1</t>
  </si>
  <si>
    <t xml:space="preserve">uncharacterized protein LOC101219900  </t>
  </si>
  <si>
    <t>Bma010000.1</t>
  </si>
  <si>
    <t>Bma010072.1</t>
  </si>
  <si>
    <t>Bma010087.1</t>
  </si>
  <si>
    <t xml:space="preserve">ABC transporter G family member 9 </t>
  </si>
  <si>
    <t>Bma010119.1</t>
  </si>
  <si>
    <t xml:space="preserve">putative diacylglycerol kinase 3  </t>
  </si>
  <si>
    <t>Bma010248.1</t>
  </si>
  <si>
    <t xml:space="preserve">uncharacterized protein LOC103336964 </t>
  </si>
  <si>
    <t>Bma010260.1</t>
  </si>
  <si>
    <t xml:space="preserve">farnesyl pyrophosphate synthase </t>
  </si>
  <si>
    <t>Bma010275.2</t>
  </si>
  <si>
    <t xml:space="preserve">high mobility group B protein 10 isoform X2 </t>
  </si>
  <si>
    <t>Bma010281.1</t>
  </si>
  <si>
    <t xml:space="preserve">peroxisome biogenesis protein 5 </t>
  </si>
  <si>
    <t>Bma010333.1</t>
  </si>
  <si>
    <t xml:space="preserve">alanine aminotransferase 2, mitochondrial-like </t>
  </si>
  <si>
    <t>Bma010418.1</t>
  </si>
  <si>
    <t xml:space="preserve">deoxyribodipyrimidine photo-lyase </t>
  </si>
  <si>
    <t>Bma010446.1</t>
  </si>
  <si>
    <t xml:space="preserve">uncharacterized protein LOC103482634 </t>
  </si>
  <si>
    <t>Bma010524.1</t>
  </si>
  <si>
    <t xml:space="preserve">26S protease regulatory subunit 6B homolog </t>
  </si>
  <si>
    <t>Bma010552.2</t>
  </si>
  <si>
    <t xml:space="preserve">uncharacterized protein LOC103490790 </t>
  </si>
  <si>
    <t>Bma010623.2</t>
  </si>
  <si>
    <t xml:space="preserve">C2 domain-containing protein At1g53590-like isoform X1  </t>
  </si>
  <si>
    <t>Bma010675.1</t>
  </si>
  <si>
    <t xml:space="preserve">glutamate receptor 2.8-like </t>
  </si>
  <si>
    <t>Bma010686.10</t>
  </si>
  <si>
    <t xml:space="preserve">cytochrome P450 CYP72A219-like </t>
  </si>
  <si>
    <t>Bma010705.1</t>
  </si>
  <si>
    <t xml:space="preserve">WD repeat-containing protein 44 isoform X2 </t>
  </si>
  <si>
    <t>Bma010736.1</t>
  </si>
  <si>
    <t>Bma010761.1</t>
  </si>
  <si>
    <t xml:space="preserve">RNA-binding family protein  </t>
  </si>
  <si>
    <t>Bma010813.1</t>
  </si>
  <si>
    <t xml:space="preserve">pyridine nucleotide-disulfide oxidoreductase family protein  </t>
  </si>
  <si>
    <t>Bma010831.1</t>
  </si>
  <si>
    <t xml:space="preserve">mitochondrial fission protein ELM1 </t>
  </si>
  <si>
    <t>Bma010855.1</t>
  </si>
  <si>
    <t xml:space="preserve">Bifunctional polymyxin resistance protein ArnA  </t>
  </si>
  <si>
    <t>Bma010879.2</t>
  </si>
  <si>
    <t xml:space="preserve">ABC transporter G family member 3 isoform X1  </t>
  </si>
  <si>
    <t>Bma010901.1</t>
  </si>
  <si>
    <t xml:space="preserve">phosphatidylinositol transfer protein 1-like isoform X3 </t>
  </si>
  <si>
    <t>Bma010974.1</t>
  </si>
  <si>
    <t xml:space="preserve">hypothetical protein PRUPE_ppa000609mg  </t>
  </si>
  <si>
    <t>Bma010977.1</t>
  </si>
  <si>
    <t xml:space="preserve">Ran-binding protein 1 b  </t>
  </si>
  <si>
    <t>Bma011030.1</t>
  </si>
  <si>
    <t xml:space="preserve">4-coumarate--CoA ligase-like 10 </t>
  </si>
  <si>
    <t>Bma011045.1</t>
  </si>
  <si>
    <t xml:space="preserve">DNA repair helicase XPB1 </t>
  </si>
  <si>
    <t>Bma011061.1</t>
  </si>
  <si>
    <t xml:space="preserve">GDT1-like protein 1, chloroplastic isoform X2 </t>
  </si>
  <si>
    <t>Bma011069.2</t>
  </si>
  <si>
    <t xml:space="preserve">trichome birefringence-like protein  </t>
  </si>
  <si>
    <t>Bma011074.1</t>
  </si>
  <si>
    <t xml:space="preserve">ethylene-responsive transcription factor ERF061-like </t>
  </si>
  <si>
    <t>Bma011080.1</t>
  </si>
  <si>
    <t xml:space="preserve">putative disease resistance protein At1g58400  </t>
  </si>
  <si>
    <t>Bma011086.1</t>
  </si>
  <si>
    <t xml:space="preserve">decapping nuclease DXO homolog, chloroplastic isoform X2  </t>
  </si>
  <si>
    <t>Bma011124.1</t>
  </si>
  <si>
    <t xml:space="preserve">hypothetical protein PRUPE_ppa002632mg  </t>
  </si>
  <si>
    <t>Bma011220.1</t>
  </si>
  <si>
    <t xml:space="preserve">hypothetical protein PRUPE_ppa004282mg  </t>
  </si>
  <si>
    <t>Bma011230.1</t>
  </si>
  <si>
    <t xml:space="preserve">THUMP domain-containing protein 1 homolog  </t>
  </si>
  <si>
    <t>Bma011235.1</t>
  </si>
  <si>
    <t xml:space="preserve">pseudouridine-metabolizing bifunctional protein C1861.05  </t>
  </si>
  <si>
    <t>Bma011258.1</t>
  </si>
  <si>
    <t xml:space="preserve">hypothetical protein Csa_1G611270 </t>
  </si>
  <si>
    <t>Bma011282.2</t>
  </si>
  <si>
    <t xml:space="preserve">hypothetical protein CISIN_1g013407mg </t>
  </si>
  <si>
    <t>Bma011296.1</t>
  </si>
  <si>
    <t xml:space="preserve">hypothetical protein CICLE_v10027575mg  </t>
  </si>
  <si>
    <t>Bma011380.1</t>
  </si>
  <si>
    <t xml:space="preserve">fatty acid 2-hydroxylase 2-like  </t>
  </si>
  <si>
    <t>Bma011420.1</t>
  </si>
  <si>
    <t xml:space="preserve">shaggy-related protein kinase eta  </t>
  </si>
  <si>
    <t>Bma011431.1</t>
  </si>
  <si>
    <t xml:space="preserve">40S ribosomal protein S14-2  </t>
  </si>
  <si>
    <t>Bma011470.1</t>
  </si>
  <si>
    <t xml:space="preserve">SH3 domain-containing protein </t>
  </si>
  <si>
    <t>Bma011474.1</t>
  </si>
  <si>
    <t xml:space="preserve">uncharacterized protein LOC102627312  </t>
  </si>
  <si>
    <t>Bma011513.1</t>
  </si>
  <si>
    <t xml:space="preserve">phosphoglycerate mutase-like </t>
  </si>
  <si>
    <t>Bma011536.1</t>
  </si>
  <si>
    <t xml:space="preserve">Uncharacterized protein TCM_032543  </t>
  </si>
  <si>
    <t>Bma011773.1</t>
  </si>
  <si>
    <t>Bma011949.1</t>
  </si>
  <si>
    <t xml:space="preserve">Copper-transporting ATPase 1 </t>
  </si>
  <si>
    <t>Bma011999.1</t>
  </si>
  <si>
    <t>Bma012029.1</t>
  </si>
  <si>
    <t xml:space="preserve">transcription factor GTE8  </t>
  </si>
  <si>
    <t>Bma012033.1</t>
  </si>
  <si>
    <t>Bma012072.1</t>
  </si>
  <si>
    <t xml:space="preserve">hypothetical protein PRUPE_ppa003465mg  </t>
  </si>
  <si>
    <t>Bma012106.2</t>
  </si>
  <si>
    <t xml:space="preserve">LOW QUALITY PROTEIN: uncharacterized protein LOC103498509 </t>
  </si>
  <si>
    <t>Bma012163.1</t>
  </si>
  <si>
    <t xml:space="preserve">hypothetical protein PRUPE_ppa000430mg  </t>
  </si>
  <si>
    <t>Bma012400.2</t>
  </si>
  <si>
    <t xml:space="preserve">probable 6-phosphogluconolactonase 1  </t>
  </si>
  <si>
    <t>Bma012451.2</t>
  </si>
  <si>
    <t xml:space="preserve">homologous-pairing protein 2 homolog  </t>
  </si>
  <si>
    <t>Bma012455.1</t>
  </si>
  <si>
    <t xml:space="preserve">tetraketide alpha-pyrone reductase 2  </t>
  </si>
  <si>
    <t>Bma012602.1</t>
  </si>
  <si>
    <t xml:space="preserve">uncharacterized protein LOC103321835, partial </t>
  </si>
  <si>
    <t>Bma012644.1</t>
  </si>
  <si>
    <t xml:space="preserve">Ribosomal protein L5 B isoform 1  </t>
  </si>
  <si>
    <t>Bma012661.1</t>
  </si>
  <si>
    <t xml:space="preserve">peroxisome biogenesis factor 10-like </t>
  </si>
  <si>
    <t>Bma012742.1</t>
  </si>
  <si>
    <t>Bma012798.1</t>
  </si>
  <si>
    <t>Bma012828.1</t>
  </si>
  <si>
    <t xml:space="preserve">Oligopeptide transporter 6 </t>
  </si>
  <si>
    <t>Bma012858.1</t>
  </si>
  <si>
    <t xml:space="preserve">NADPH oxidase, partial </t>
  </si>
  <si>
    <t>Bma012914.1</t>
  </si>
  <si>
    <t xml:space="preserve">gibberellin 20 oxidase 1 </t>
  </si>
  <si>
    <t>Bma012979.1</t>
  </si>
  <si>
    <t xml:space="preserve">amino-acid permease BAT1 homolog isoform X3 </t>
  </si>
  <si>
    <t>Bma012986.2</t>
  </si>
  <si>
    <t xml:space="preserve">transcription termination factor 2 isoform X5  </t>
  </si>
  <si>
    <t>Bma012994.1</t>
  </si>
  <si>
    <t xml:space="preserve">CRAL-TRIO domain-containing protein YKL091C-like isoform X2 </t>
  </si>
  <si>
    <t>Bma013057.1</t>
  </si>
  <si>
    <t>Bma013059.2</t>
  </si>
  <si>
    <t xml:space="preserve">hypothetical protein PRUPE_ppa007059mg  </t>
  </si>
  <si>
    <t>Bma013125.1</t>
  </si>
  <si>
    <t>Bma013129.1</t>
  </si>
  <si>
    <t xml:space="preserve">MADS-box transcription factor 25 isoform X1  </t>
  </si>
  <si>
    <t>Bma013288.1</t>
  </si>
  <si>
    <t xml:space="preserve">oligouridylate-binding protein 1B  </t>
  </si>
  <si>
    <t>Bma013292.1</t>
  </si>
  <si>
    <t xml:space="preserve">uncharacterized protein LOC100249804 isoform X1 </t>
  </si>
  <si>
    <t>Bma013353.3</t>
  </si>
  <si>
    <t xml:space="preserve">MAR-binding filament-like protein 1-1 isoform X1 </t>
  </si>
  <si>
    <t>Bma013363.1</t>
  </si>
  <si>
    <t xml:space="preserve">hypothetical protein JCGZ_06227 </t>
  </si>
  <si>
    <t>Bma013394.2</t>
  </si>
  <si>
    <t xml:space="preserve">protein TOPLESS isoform X1 </t>
  </si>
  <si>
    <t>Bma013482.1</t>
  </si>
  <si>
    <t xml:space="preserve">uncharacterized protein LOC105640940 isoform X1  </t>
  </si>
  <si>
    <t>Bma013519.1</t>
  </si>
  <si>
    <t xml:space="preserve">protein TRANSPORT INHIBITOR RESPONSE 1 </t>
  </si>
  <si>
    <t>Bma013594.1</t>
  </si>
  <si>
    <t xml:space="preserve">late embryogenesis abundant protein D-34  </t>
  </si>
  <si>
    <t>Bma013705.1</t>
  </si>
  <si>
    <t xml:space="preserve">peptidyl-prolyl cis-trans isomerase FKBP62-like  </t>
  </si>
  <si>
    <t>Bma013748.1</t>
  </si>
  <si>
    <t xml:space="preserve">CLIP-associated protein isoform X1 </t>
  </si>
  <si>
    <t>Bma013810.1</t>
  </si>
  <si>
    <t xml:space="preserve">hypothetical protein PRUPE_ppa001510mg  </t>
  </si>
  <si>
    <t>Bma013828.2</t>
  </si>
  <si>
    <t>Cysteine</t>
  </si>
  <si>
    <t>Bma013851.2</t>
  </si>
  <si>
    <t>Bma013889.2</t>
  </si>
  <si>
    <t xml:space="preserve">UDP-glucuronate:xylan alpha-glucuronosyltransferase 1-like  </t>
  </si>
  <si>
    <t>Bma014070.1</t>
  </si>
  <si>
    <t xml:space="preserve">omega-hydroxypalmitate O-feruloyl transferase  </t>
  </si>
  <si>
    <t>Bma014272.1</t>
  </si>
  <si>
    <t xml:space="preserve">hypothetical protein VITISV_002865 </t>
  </si>
  <si>
    <t>Bma014393.1</t>
  </si>
  <si>
    <t xml:space="preserve">kinesin-II 95 kDa subunit </t>
  </si>
  <si>
    <t>Bma014448.1</t>
  </si>
  <si>
    <t xml:space="preserve">hypothetical protein PRUPE_ppa000628mg  </t>
  </si>
  <si>
    <t>Bma014467.1</t>
  </si>
  <si>
    <t xml:space="preserve">LOW QUALITY PROTEIN: formin-like protein 18 </t>
  </si>
  <si>
    <t>Bma014486.1</t>
  </si>
  <si>
    <t xml:space="preserve">peptidyl-prolyl cis-trans isomerase CYP95-like isoform X1  </t>
  </si>
  <si>
    <t>Bma014515.1</t>
  </si>
  <si>
    <t xml:space="preserve">probable WRKY transcription factor 11 </t>
  </si>
  <si>
    <t>Bma014620.1</t>
  </si>
  <si>
    <t xml:space="preserve">inositol-tetrakisphosphate 1-kinase 4  </t>
  </si>
  <si>
    <t>Bma014650.1</t>
  </si>
  <si>
    <t xml:space="preserve">putative CCA tRNA nucleotidyltransferase 2  </t>
  </si>
  <si>
    <t>Bma014664.1</t>
  </si>
  <si>
    <t xml:space="preserve">auxilin-related protein 2 isoform X1 </t>
  </si>
  <si>
    <t>Bma014665.1</t>
  </si>
  <si>
    <t xml:space="preserve">Amino acid permease 3 -like protein </t>
  </si>
  <si>
    <t>Bma014670.1</t>
  </si>
  <si>
    <t xml:space="preserve">replication factor C subunit 3  </t>
  </si>
  <si>
    <t>Bma014673.1</t>
  </si>
  <si>
    <t xml:space="preserve">protein disulfide-isomerase </t>
  </si>
  <si>
    <t>Bma014675.1</t>
  </si>
  <si>
    <t xml:space="preserve">general transcription factor IIH subunit 3 </t>
  </si>
  <si>
    <t>Bma014833.1</t>
  </si>
  <si>
    <t xml:space="preserve">glutaredoxin </t>
  </si>
  <si>
    <t>Bma014838.5</t>
  </si>
  <si>
    <t xml:space="preserve">protein RST1 </t>
  </si>
  <si>
    <t>Bma014850.1</t>
  </si>
  <si>
    <t xml:space="preserve">hypothetical protein PRUPE_ppa003235mg  </t>
  </si>
  <si>
    <t>Bma014896.3</t>
  </si>
  <si>
    <t>Bma014969.1</t>
  </si>
  <si>
    <t xml:space="preserve">uncharacterized protein LOC100500684  </t>
  </si>
  <si>
    <t>Bma014979.1</t>
  </si>
  <si>
    <t xml:space="preserve">hypothetical protein CICLE_v10013438mg  </t>
  </si>
  <si>
    <t>Bma015024.1</t>
  </si>
  <si>
    <t xml:space="preserve">condensin complex subunit 3 </t>
  </si>
  <si>
    <t>Bma015064.2</t>
  </si>
  <si>
    <t>Bma015246.1</t>
  </si>
  <si>
    <t xml:space="preserve">hypothetical protein PHAVU_001G089100g  </t>
  </si>
  <si>
    <t>Bma015374.2</t>
  </si>
  <si>
    <t xml:space="preserve">ACT-like protein tyrosine kinase family protein isoform 1  </t>
  </si>
  <si>
    <t>Bma015434.1</t>
  </si>
  <si>
    <t xml:space="preserve">hypothetical protein CICLE_v10005791mg  </t>
  </si>
  <si>
    <t>Bma015655.1</t>
  </si>
  <si>
    <t>Bma015685.1</t>
  </si>
  <si>
    <t xml:space="preserve">LOW QUALITY PROTEIN: protein GAMETE EXPRESSED 2 </t>
  </si>
  <si>
    <t>Bma015690.1</t>
  </si>
  <si>
    <t xml:space="preserve">acyl-CoA dehydrogenase family member 10 </t>
  </si>
  <si>
    <t>Bma015763.2</t>
  </si>
  <si>
    <t xml:space="preserve">uncharacterized protein LOC101222201 isoform X2  </t>
  </si>
  <si>
    <t>Bma015808.1</t>
  </si>
  <si>
    <t xml:space="preserve">hypothetical protein CISIN_1g017272mg </t>
  </si>
  <si>
    <t>Bma015851.1</t>
  </si>
  <si>
    <t xml:space="preserve">hypothetical protein CICLE_v10020939mg  </t>
  </si>
  <si>
    <t>Bma015873.1</t>
  </si>
  <si>
    <t xml:space="preserve">Rop guanine nucleotide exchange factor 2  </t>
  </si>
  <si>
    <t>Bma015898.1</t>
  </si>
  <si>
    <t xml:space="preserve">hypothetical protein B456_007G105200 </t>
  </si>
  <si>
    <t>Bma015902.1</t>
  </si>
  <si>
    <t>Bma015915.2</t>
  </si>
  <si>
    <t xml:space="preserve">hypothetical protein CICLE_v10022440mg  </t>
  </si>
  <si>
    <t>Bma015918.1</t>
  </si>
  <si>
    <t xml:space="preserve">protein SDE2 homolog </t>
  </si>
  <si>
    <t>Bma015925.2</t>
  </si>
  <si>
    <t xml:space="preserve">uncharacterized protein LOC106754956 isoform X2 </t>
  </si>
  <si>
    <t>Bma015989.1</t>
  </si>
  <si>
    <t xml:space="preserve">uncharacterized protein LOC100259142  </t>
  </si>
  <si>
    <t>Bma016033.2</t>
  </si>
  <si>
    <t xml:space="preserve">rac-like GTP-binding protein RAC2  </t>
  </si>
  <si>
    <t>Bma016043.1</t>
  </si>
  <si>
    <t xml:space="preserve">RPM1-interacting protein 4-like isoform X2 </t>
  </si>
  <si>
    <t>Bma016051.1</t>
  </si>
  <si>
    <t xml:space="preserve">hypothetical protein PRUPE_ppa007280mg  </t>
  </si>
  <si>
    <t>Bma016093.3</t>
  </si>
  <si>
    <t xml:space="preserve">hypothetical protein PRUPE_ppa004165mg  </t>
  </si>
  <si>
    <t>Bma016179.1</t>
  </si>
  <si>
    <t xml:space="preserve">LOW QUALITY PROTEIN: formin-like protein 3 </t>
  </si>
  <si>
    <t>Bma016188.1</t>
  </si>
  <si>
    <t xml:space="preserve">myb-related protein Myb4 </t>
  </si>
  <si>
    <t>Bma016206.1</t>
  </si>
  <si>
    <t xml:space="preserve">protein STRUBBELIG-RECEPTOR FAMILY 3-like </t>
  </si>
  <si>
    <t>Bma016215.1</t>
  </si>
  <si>
    <t xml:space="preserve">hypothetical protein PRUPE_ppa002427mg  </t>
  </si>
  <si>
    <t>Bma016219.2</t>
  </si>
  <si>
    <t xml:space="preserve">uncharacterized protein LOC103328534 </t>
  </si>
  <si>
    <t>Bma016294.1</t>
  </si>
  <si>
    <t xml:space="preserve">uncharacterized protein LOC100260844 isoform X8 </t>
  </si>
  <si>
    <t>Bma016300.1</t>
  </si>
  <si>
    <t xml:space="preserve">nuclear pore complex protein NUP1-like  </t>
  </si>
  <si>
    <t>Bma016334.1</t>
  </si>
  <si>
    <t xml:space="preserve">uncharacterized protein ycf45 </t>
  </si>
  <si>
    <t>Bma016474.1</t>
  </si>
  <si>
    <t xml:space="preserve">WEB family protein At2g40480 </t>
  </si>
  <si>
    <t>Bma016568.1</t>
  </si>
  <si>
    <t>Bma016573.1</t>
  </si>
  <si>
    <t xml:space="preserve">uncharacterized protein LOC103500216 </t>
  </si>
  <si>
    <t>Bma016645.1</t>
  </si>
  <si>
    <t xml:space="preserve">Protein neuralized  </t>
  </si>
  <si>
    <t>Bma016682.1</t>
  </si>
  <si>
    <t xml:space="preserve">Cytochrome P450 superfamily protein, putative isoform 1  </t>
  </si>
  <si>
    <t>Bma016712.2</t>
  </si>
  <si>
    <t xml:space="preserve">DNA-directed RNA polymerase V subunit 1  </t>
  </si>
  <si>
    <t>Bma016756.1</t>
  </si>
  <si>
    <t xml:space="preserve">metacaspase-5-like  </t>
  </si>
  <si>
    <t>Bma016770.1</t>
  </si>
  <si>
    <t xml:space="preserve">hypothetical protein PRUPE_ppa000061mg  </t>
  </si>
  <si>
    <t>Bma016806.1</t>
  </si>
  <si>
    <t xml:space="preserve">hypothetical protein JCGZ_04877 </t>
  </si>
  <si>
    <t>Bma016854.2</t>
  </si>
  <si>
    <t xml:space="preserve">DNA replication licensing factor MCM4 isoform X2 </t>
  </si>
  <si>
    <t>Bma016882.1</t>
  </si>
  <si>
    <t>Bma016934.1</t>
  </si>
  <si>
    <t xml:space="preserve">uncharacterized protein LOC101221421  </t>
  </si>
  <si>
    <t>Bma016944.1</t>
  </si>
  <si>
    <t xml:space="preserve">cellulose synthase-like protein D4 </t>
  </si>
  <si>
    <t>Bma016947.1</t>
  </si>
  <si>
    <t xml:space="preserve">histone deacetylase 19 isoform X2 </t>
  </si>
  <si>
    <t>Bma016952.1</t>
  </si>
  <si>
    <t xml:space="preserve">zinc finger protein CONSTANS-LIKE 9-like  </t>
  </si>
  <si>
    <t>Bma017005.1</t>
  </si>
  <si>
    <t xml:space="preserve">uncharacterized protein LOC103933488  </t>
  </si>
  <si>
    <t>Bma017058.1</t>
  </si>
  <si>
    <t xml:space="preserve">zinc finger CCCH domain-containing protein 43 isoform X2  </t>
  </si>
  <si>
    <t>Bma017138.1</t>
  </si>
  <si>
    <t xml:space="preserve">glutathione S-transferase U9 </t>
  </si>
  <si>
    <t>Bma017145.2</t>
  </si>
  <si>
    <t xml:space="preserve">geranylgeranyl diphosphate reductase, chloroplastic </t>
  </si>
  <si>
    <t>Bma017150.1</t>
  </si>
  <si>
    <t xml:space="preserve">vacuolar amino acid transporter 1-like </t>
  </si>
  <si>
    <t>Bma017154.1</t>
  </si>
  <si>
    <t xml:space="preserve">formin-like protein 20 isoform X2 </t>
  </si>
  <si>
    <t>Bma017157.1</t>
  </si>
  <si>
    <t xml:space="preserve">flavin-containing monooxygenase FMO GS-OX-like 8 isoform X2 </t>
  </si>
  <si>
    <t>Bma017245.2</t>
  </si>
  <si>
    <t xml:space="preserve">Down syndrome critical region protein 3 like </t>
  </si>
  <si>
    <t>Bma017252.1</t>
  </si>
  <si>
    <t xml:space="preserve">hypothetical protein VITISV_024983 </t>
  </si>
  <si>
    <t>Bma017334.1</t>
  </si>
  <si>
    <t xml:space="preserve">ATP-dependent DNA helicase DDM1  </t>
  </si>
  <si>
    <t>Bma017697.1</t>
  </si>
  <si>
    <t xml:space="preserve">11-beta-hydroxysteroid dehydrogenase 1B-like </t>
  </si>
  <si>
    <t>Bma018468.1</t>
  </si>
  <si>
    <t xml:space="preserve">UDP-sugar pyrophosphorylase  </t>
  </si>
  <si>
    <t>Bma018559.2</t>
  </si>
  <si>
    <t xml:space="preserve">Cytokinin oxidase  </t>
  </si>
  <si>
    <t>Bma018608.1</t>
  </si>
  <si>
    <t xml:space="preserve">uncharacterized protein LOC100257562  </t>
  </si>
  <si>
    <t>Bma018623.7</t>
  </si>
  <si>
    <t xml:space="preserve">uncharacterized protein LOC103493525 isoform X1 </t>
  </si>
  <si>
    <t>Bma018624.1</t>
  </si>
  <si>
    <t xml:space="preserve">polyadenylate-binding protein RBP47-like isoform X2 </t>
  </si>
  <si>
    <t>Bma018635.1</t>
  </si>
  <si>
    <t xml:space="preserve">hypothetical protein PRUPE_ppa004175mg  </t>
  </si>
  <si>
    <t>Bma018656.1</t>
  </si>
  <si>
    <t xml:space="preserve">glucan endo-1,3-beta-glucosidase 7  </t>
  </si>
  <si>
    <t>Bma018735.1</t>
  </si>
  <si>
    <t>Bma018814.1</t>
  </si>
  <si>
    <t xml:space="preserve">two-on-two hemoglobin-3 isoform X1 </t>
  </si>
  <si>
    <t>Bma018848.1</t>
  </si>
  <si>
    <t xml:space="preserve">hypothetical protein PRUPE_ppa003410mg  </t>
  </si>
  <si>
    <t>Bma018887.1</t>
  </si>
  <si>
    <t xml:space="preserve">LOW QUALITY PROTEIN: receptor-like protein kinase HSL1 </t>
  </si>
  <si>
    <t>Bma018895.1</t>
  </si>
  <si>
    <t>Bma018952.1</t>
  </si>
  <si>
    <t xml:space="preserve">hypothetical protein POPTR_0006s04540g  </t>
  </si>
  <si>
    <t>Bma019017.1</t>
  </si>
  <si>
    <t xml:space="preserve">mRNA-decapping enzyme-like protein  </t>
  </si>
  <si>
    <t>Bma019018.2</t>
  </si>
  <si>
    <t xml:space="preserve">probable UDP-N-acetylglucosamine--peptide N-acetylglucosaminyltransferase SPINDLY  </t>
  </si>
  <si>
    <t>Bma019100.1</t>
  </si>
  <si>
    <t xml:space="preserve">uncharacterized protein LOC103430318 </t>
  </si>
  <si>
    <t>Bma019101.1</t>
  </si>
  <si>
    <t xml:space="preserve">uncharacterized protein LOC105434959  </t>
  </si>
  <si>
    <t>Bma019137.1</t>
  </si>
  <si>
    <t>Bma019156.1</t>
  </si>
  <si>
    <t xml:space="preserve">uncharacterized protein LOC103486390 </t>
  </si>
  <si>
    <t>Bma019198.2</t>
  </si>
  <si>
    <t xml:space="preserve">fructose-1,6-bisphosphatase, chloroplastic-like  </t>
  </si>
  <si>
    <t>Bma019201.1</t>
  </si>
  <si>
    <t xml:space="preserve">hypothetical protein VIGAN_09074800 </t>
  </si>
  <si>
    <t>Bma019235.1</t>
  </si>
  <si>
    <t xml:space="preserve">uncharacterized protein LOC100252933 isoform X3  </t>
  </si>
  <si>
    <t>Bma019240.1</t>
  </si>
  <si>
    <t xml:space="preserve">pentatricopeptide repeat-containing protein At3g06430, chloroplastic-like </t>
  </si>
  <si>
    <t>Bma019256.1</t>
  </si>
  <si>
    <t xml:space="preserve">WAT1-related protein At4g08300-like </t>
  </si>
  <si>
    <t>Bma019278.1</t>
  </si>
  <si>
    <t xml:space="preserve">hypothetical protein B456_011G166400 </t>
  </si>
  <si>
    <t>Bma019586.1</t>
  </si>
  <si>
    <t>Bma019629.1</t>
  </si>
  <si>
    <t xml:space="preserve">peroxisomal membrane protein PMP22  </t>
  </si>
  <si>
    <t>Bma019637.1</t>
  </si>
  <si>
    <t xml:space="preserve">oxidation resistance protein 1 </t>
  </si>
  <si>
    <t>Bma019757.1</t>
  </si>
  <si>
    <t xml:space="preserve">uncharacterized protein LOC106373325 </t>
  </si>
  <si>
    <t>Bma020164.1</t>
  </si>
  <si>
    <t xml:space="preserve">glycosyl hydrolase family protein  </t>
  </si>
  <si>
    <t>Bma020219.1</t>
  </si>
  <si>
    <t xml:space="preserve">uncharacterized protein LOC100810722 precursor  </t>
  </si>
  <si>
    <t>Bma020264.1</t>
  </si>
  <si>
    <t xml:space="preserve">kinesin-like protein KIF22-A isoform X2 </t>
  </si>
  <si>
    <t>Bma020286.2</t>
  </si>
  <si>
    <t xml:space="preserve">uncharacterized protein LOC101305178 </t>
  </si>
  <si>
    <t>Bma020426.1</t>
  </si>
  <si>
    <t xml:space="preserve">uncharacterized protein C4orf29 homolog  </t>
  </si>
  <si>
    <t>Bma020434.1</t>
  </si>
  <si>
    <t xml:space="preserve">transcription factor bHLH48 </t>
  </si>
  <si>
    <t>Bma020555.1</t>
  </si>
  <si>
    <t xml:space="preserve">4-coumarate--CoA ligase-like 7 </t>
  </si>
  <si>
    <t>Bma020575.1</t>
  </si>
  <si>
    <t xml:space="preserve">hypothetical protein GLYMA_13G137500 </t>
  </si>
  <si>
    <t>Bma020616.1</t>
  </si>
  <si>
    <t xml:space="preserve">protein AIG1  </t>
  </si>
  <si>
    <t>Bma020619.1</t>
  </si>
  <si>
    <t xml:space="preserve">zinc finger CCCH domain-containing protein 48-like  </t>
  </si>
  <si>
    <t>Bma020622.1</t>
  </si>
  <si>
    <t xml:space="preserve">hypothetical protein PRUPE_ppa009659mg  </t>
  </si>
  <si>
    <t>Bma020631.1</t>
  </si>
  <si>
    <t xml:space="preserve">rhomboid-like protease 1  </t>
  </si>
  <si>
    <t>Bma020806.2</t>
  </si>
  <si>
    <t xml:space="preserve">hypothetical protein CICLE_v10001396mg  </t>
  </si>
  <si>
    <t>Bma020848.2</t>
  </si>
  <si>
    <t>phosphatidylinositol</t>
  </si>
  <si>
    <t>Bma021126.1</t>
  </si>
  <si>
    <t xml:space="preserve">cysteine synthase-like isoform X2 </t>
  </si>
  <si>
    <t>Bma021211.1</t>
  </si>
  <si>
    <t xml:space="preserve">COBRA-like protein 6 </t>
  </si>
  <si>
    <t>Bma021216.1</t>
  </si>
  <si>
    <t>Bma021578.1</t>
  </si>
  <si>
    <t xml:space="preserve">potassium transporter 7-like  </t>
  </si>
  <si>
    <t>Bma021709.1</t>
  </si>
  <si>
    <t xml:space="preserve">soluble inorganic pyrophosphatase 6, chloroplastic  </t>
  </si>
  <si>
    <t>Bma021769.1</t>
  </si>
  <si>
    <t xml:space="preserve">ATP-dependent DNA helicase Q-like 3  </t>
  </si>
  <si>
    <t>Bma021896.1</t>
  </si>
  <si>
    <t xml:space="preserve">Uncharacterized protein TCM_016130  </t>
  </si>
  <si>
    <t>Bma021912.1</t>
  </si>
  <si>
    <t xml:space="preserve">E3 ubiquitin-protein ligase At1g12760-like  </t>
  </si>
  <si>
    <t>Bma021917.2</t>
  </si>
  <si>
    <t xml:space="preserve">intracellular protein transport protein USO1  </t>
  </si>
  <si>
    <t>Bma022166.1</t>
  </si>
  <si>
    <t>Bma022271.1</t>
  </si>
  <si>
    <t>Bma022287.1</t>
  </si>
  <si>
    <t xml:space="preserve">probable membrane-associated kinase regulator 1 </t>
  </si>
  <si>
    <t>Bma022355.1</t>
  </si>
  <si>
    <t xml:space="preserve">electron transfer flavoprotein-ubiquinone oxidoreductase, mitochondrial  </t>
  </si>
  <si>
    <t>Bma022432.1</t>
  </si>
  <si>
    <t xml:space="preserve">hypothetical protein POPTR_0017s06410g  </t>
  </si>
  <si>
    <t>Bma022447.1</t>
  </si>
  <si>
    <t xml:space="preserve">auxin-responsive protein IAA12-like isoform X1  </t>
  </si>
  <si>
    <t>Bma022450.2</t>
  </si>
  <si>
    <t xml:space="preserve">hypothetical protein glysoja_041619  </t>
  </si>
  <si>
    <t>Bma022484.1</t>
  </si>
  <si>
    <t xml:space="preserve">probable methionine--tRNA ligase  </t>
  </si>
  <si>
    <t>Bma022486.1</t>
  </si>
  <si>
    <t xml:space="preserve">pre-mRNA-splicing factor CWC22 homolog  </t>
  </si>
  <si>
    <t>Bma022493.1</t>
  </si>
  <si>
    <t xml:space="preserve">uncharacterized protein LOC8266695  </t>
  </si>
  <si>
    <t>Bma022501.1</t>
  </si>
  <si>
    <t xml:space="preserve">eukaryotic translation initiation factor 4G-like isoform X1 </t>
  </si>
  <si>
    <t>Bma022588.1</t>
  </si>
  <si>
    <t xml:space="preserve">hypothetical protein PRUPE_ppa014613mg  </t>
  </si>
  <si>
    <t>Bma022647.1</t>
  </si>
  <si>
    <t>ribulose-1,5-bisphosphate carboxylase</t>
  </si>
  <si>
    <t>Bma022725.1</t>
  </si>
  <si>
    <t xml:space="preserve">zinc finger CCCH domain-containing protein 44 </t>
  </si>
  <si>
    <t>Bma022774.1</t>
  </si>
  <si>
    <t xml:space="preserve">chaperone protein ClpB1 </t>
  </si>
  <si>
    <t>Bma022779.1</t>
  </si>
  <si>
    <t xml:space="preserve">heparanase-like protein 1 isoform X2  </t>
  </si>
  <si>
    <t>Bma022785.1</t>
  </si>
  <si>
    <t xml:space="preserve">uncharacterized protein LOC100255290 </t>
  </si>
  <si>
    <t>Bma022796.2</t>
  </si>
  <si>
    <t xml:space="preserve">hypothetical protein GLYMA_06G191400  </t>
  </si>
  <si>
    <t>Bma022797.2</t>
  </si>
  <si>
    <t xml:space="preserve">ABC transporter A family member 7-like </t>
  </si>
  <si>
    <t>Bma022885.1</t>
  </si>
  <si>
    <t xml:space="preserve">GDP-D-mannose pyrophosphorylase </t>
  </si>
  <si>
    <t>Bma023153.1</t>
  </si>
  <si>
    <t xml:space="preserve">putative translation initiation factor eIF-2B subunit epsilon  </t>
  </si>
  <si>
    <t>Bma023198.1</t>
  </si>
  <si>
    <t xml:space="preserve">methylesterase 3-like isoform X2 </t>
  </si>
  <si>
    <t>Bma023224.1</t>
  </si>
  <si>
    <t xml:space="preserve">K+ uptake transporter 3 isoform 4  </t>
  </si>
  <si>
    <t>Bma023572.1</t>
  </si>
  <si>
    <t xml:space="preserve">WAT1-related protein At3g28050-like isoform X1 </t>
  </si>
  <si>
    <t>Bma023605.1</t>
  </si>
  <si>
    <t xml:space="preserve">AP2-like ethylene-responsive transcription factor AIL6  </t>
  </si>
  <si>
    <t>Bma023656.1</t>
  </si>
  <si>
    <t xml:space="preserve">TCP family transcription factor, putative  </t>
  </si>
  <si>
    <t>Bma023699.1</t>
  </si>
  <si>
    <t xml:space="preserve">mitotic checkpoint protein BUB3.3 </t>
  </si>
  <si>
    <t>Bma023701.1</t>
  </si>
  <si>
    <t xml:space="preserve">probable vacuolar amino acid transporter YPQ3 isoform X2 </t>
  </si>
  <si>
    <t>Bma023835.1</t>
  </si>
  <si>
    <t xml:space="preserve">gamma-tocopherol methyltransferase </t>
  </si>
  <si>
    <t>Bma023858.1</t>
  </si>
  <si>
    <t xml:space="preserve">probable 2-oxoglutarate-dependent dioxygenase At3g49630 isoform X3 </t>
  </si>
  <si>
    <t>Bma024032.1</t>
  </si>
  <si>
    <t xml:space="preserve">cellulose synthase A catalytic subunit 7  </t>
  </si>
  <si>
    <t>Bma024042.1</t>
  </si>
  <si>
    <t xml:space="preserve">hypothetical protein PHAVU_003G157200g  </t>
  </si>
  <si>
    <t>Bma024067.1</t>
  </si>
  <si>
    <t xml:space="preserve">synaptotagmin-5-like </t>
  </si>
  <si>
    <t>Bma024098.1</t>
  </si>
  <si>
    <t xml:space="preserve">lysine--tRNA ligase </t>
  </si>
  <si>
    <t>Bma024131.1</t>
  </si>
  <si>
    <t xml:space="preserve">aldehyde dehydrogenase family 2 member C4-like </t>
  </si>
  <si>
    <t>Bma024191.1</t>
  </si>
  <si>
    <t xml:space="preserve">eukaryotic translation initiation factor 3 subunit E </t>
  </si>
  <si>
    <t>Bma024192.2</t>
  </si>
  <si>
    <t xml:space="preserve">hypothetical protein PRUPE_ppa005923mg  </t>
  </si>
  <si>
    <t>Bma024233.1</t>
  </si>
  <si>
    <t xml:space="preserve">aminoacyl tRNA synthase complex-interacting multifunctional protein 1  </t>
  </si>
  <si>
    <t>Bma024283.1</t>
  </si>
  <si>
    <t xml:space="preserve">protein CURVATURE THYLAKOID 1A, chloroplastic-like  </t>
  </si>
  <si>
    <t>Bma024293.1</t>
  </si>
  <si>
    <t xml:space="preserve">exocyst complex component SEC10  </t>
  </si>
  <si>
    <t>Bma024326.1</t>
  </si>
  <si>
    <t xml:space="preserve">putative 5-enolpyruvylshikimate 3-phosphate synthase </t>
  </si>
  <si>
    <t>Bma024436.1</t>
  </si>
  <si>
    <t xml:space="preserve">pentatricopeptide repeat-containing protein At5g16860 </t>
  </si>
  <si>
    <t>Bma024439.1</t>
  </si>
  <si>
    <t xml:space="preserve">ADP-ribosylation factor GTPase-activating protein AGD3 </t>
  </si>
  <si>
    <t>Bma024445.1</t>
  </si>
  <si>
    <t xml:space="preserve">zinc finger protein CONSTANS-LIKE 14-like  </t>
  </si>
  <si>
    <t>Bma024448.2</t>
  </si>
  <si>
    <t xml:space="preserve">uncharacterized protein C1F8.04c-like isoform X1  </t>
  </si>
  <si>
    <t>Bma024483.1</t>
  </si>
  <si>
    <t xml:space="preserve">uncharacterized protein LOC103483139 </t>
  </si>
  <si>
    <t>Bma024527.1</t>
  </si>
  <si>
    <t xml:space="preserve">15-cis-zeta-carotene isomerase, chloroplastic  </t>
  </si>
  <si>
    <t>Bma024535.1</t>
  </si>
  <si>
    <t xml:space="preserve">inositol transporter 1 isoform X1  </t>
  </si>
  <si>
    <t>Bma024590.1</t>
  </si>
  <si>
    <t xml:space="preserve">putative pentatricopeptide repeat-containing protein At3g16890, mitochondrial isoform X1 </t>
  </si>
  <si>
    <t>Bma024610.1</t>
  </si>
  <si>
    <t>Bma024638.1</t>
  </si>
  <si>
    <t xml:space="preserve">hypothetical protein L484_011284  </t>
  </si>
  <si>
    <t>Bma024690.1</t>
  </si>
  <si>
    <t xml:space="preserve">hypothetical protein PRUPE_ppa010420mg  </t>
  </si>
  <si>
    <t>Bma024739.1</t>
  </si>
  <si>
    <t xml:space="preserve">inosine triphosphate pyrophosphatase isoform X2 </t>
  </si>
  <si>
    <t>Bma024798.1</t>
  </si>
  <si>
    <t xml:space="preserve">uncharacterized protein LOC101213489 </t>
  </si>
  <si>
    <t>Bma024810.1</t>
  </si>
  <si>
    <t xml:space="preserve">28S ribosomal protein S29, mitochondrial-like  </t>
  </si>
  <si>
    <t>Bma024818.1</t>
  </si>
  <si>
    <t xml:space="preserve">No lysine kinase 4 isoform 2  </t>
  </si>
  <si>
    <t>Bma024833.1</t>
  </si>
  <si>
    <t>Bma024877.2</t>
  </si>
  <si>
    <t xml:space="preserve">uncharacterized protein LOC100248378 </t>
  </si>
  <si>
    <t>Bma024905.1</t>
  </si>
  <si>
    <t xml:space="preserve">putative E3 ubiquitin-protein ligase rbrA  </t>
  </si>
  <si>
    <t>Bma024906.1</t>
  </si>
  <si>
    <t xml:space="preserve">argininosuccinate lyase, chloroplastic </t>
  </si>
  <si>
    <t>Bma024915.1</t>
  </si>
  <si>
    <t>Bma024934.1</t>
  </si>
  <si>
    <t xml:space="preserve">ABC transporter F family member 1  </t>
  </si>
  <si>
    <t>Bma024990.1</t>
  </si>
  <si>
    <t xml:space="preserve">YABBY2-like transcription factor YAB2 </t>
  </si>
  <si>
    <t>Bma025014.1</t>
  </si>
  <si>
    <t xml:space="preserve">DNA topoisomerase 6 subunit B isoform X1 </t>
  </si>
  <si>
    <t>Bma025032.1</t>
  </si>
  <si>
    <t xml:space="preserve">hypothetical protein POPTR_0001s26630g  </t>
  </si>
  <si>
    <t>Bma025085.2</t>
  </si>
  <si>
    <t xml:space="preserve">NADH--cytochrome b5 reductase 1-like  </t>
  </si>
  <si>
    <t>Bma025139.1</t>
  </si>
  <si>
    <t xml:space="preserve">secretory carrier-associated membrane protein </t>
  </si>
  <si>
    <t>Bma025501.2</t>
  </si>
  <si>
    <t>Bma025621.1</t>
  </si>
  <si>
    <t>Bma025812.1</t>
  </si>
  <si>
    <t xml:space="preserve">PLASMODESMATA CALLOSE-BINDING PROTEIN 5-like isoform X1 </t>
  </si>
  <si>
    <t>Bma025914.1</t>
  </si>
  <si>
    <t>Bma026002.1</t>
  </si>
  <si>
    <t xml:space="preserve">uncharacterized protein LOC107177515 </t>
  </si>
  <si>
    <t>Bma026026.1</t>
  </si>
  <si>
    <t xml:space="preserve">zinc finger BED domain-containing protein RICESLEEPER 2-like </t>
  </si>
  <si>
    <t>Bma026268.1</t>
  </si>
  <si>
    <t xml:space="preserve">LOW QUALITY PROTEIN: regulatory protein NPR3-like </t>
  </si>
  <si>
    <t>Bma026300.1</t>
  </si>
  <si>
    <t xml:space="preserve">hypothetical protein PRUPE_ppa016262mg  </t>
  </si>
  <si>
    <t>Bma026451.1</t>
  </si>
  <si>
    <t xml:space="preserve">translation initiation factor eIF-2B subunit gamma isoform X3 </t>
  </si>
  <si>
    <t>Bma026473.2</t>
  </si>
  <si>
    <t xml:space="preserve">uncharacterized protein LOC101211357, partial </t>
  </si>
  <si>
    <t>Bma026487.3</t>
  </si>
  <si>
    <t xml:space="preserve">proteasome activator subunit 4 </t>
  </si>
  <si>
    <t>Bma026492.1</t>
  </si>
  <si>
    <t xml:space="preserve">heat shock cognate protein 80 </t>
  </si>
  <si>
    <t>Bma026494.1</t>
  </si>
  <si>
    <t>Bma026540.1</t>
  </si>
  <si>
    <t xml:space="preserve">glycerophosphodiester phosphodiesterase GDPDL4  </t>
  </si>
  <si>
    <t>Bma026558.1</t>
  </si>
  <si>
    <t xml:space="preserve">EH domain-containing protein 1  </t>
  </si>
  <si>
    <t>Bma026576.1</t>
  </si>
  <si>
    <t xml:space="preserve">UPF0136 membrane protein At2g26240  </t>
  </si>
  <si>
    <t>Bma026578.1</t>
  </si>
  <si>
    <t xml:space="preserve">Cytochrome P450  </t>
  </si>
  <si>
    <t>Bma026632.2</t>
  </si>
  <si>
    <t xml:space="preserve">protochlorophyllide-dependent translocon component 52, chloroplastic </t>
  </si>
  <si>
    <t>Bma026669.1</t>
  </si>
  <si>
    <t>Bma026689.1</t>
  </si>
  <si>
    <t xml:space="preserve">NAD(H) kinase 1 isoform X2 </t>
  </si>
  <si>
    <t>Bma026712.1</t>
  </si>
  <si>
    <t xml:space="preserve">dnaJ protein homolog  </t>
  </si>
  <si>
    <t>Bma026738.1</t>
  </si>
  <si>
    <t xml:space="preserve">transmembrane 9 superfamily member 5 isoform X1 </t>
  </si>
  <si>
    <t>Bma026749.1</t>
  </si>
  <si>
    <t xml:space="preserve">hypothetical protein PRUPE_ppa002180mg  </t>
  </si>
  <si>
    <t>Bma026759.1</t>
  </si>
  <si>
    <t xml:space="preserve">threonine dehydratase biosynthetic, chloroplastic </t>
  </si>
  <si>
    <t>Bma026790.1</t>
  </si>
  <si>
    <t xml:space="preserve">Double-stranded RNA-binding protein 2  </t>
  </si>
  <si>
    <t>Bma026796.1</t>
  </si>
  <si>
    <t xml:space="preserve">dystrophia myotonica WD repeat-containing protein-like </t>
  </si>
  <si>
    <t>Bma026864.1</t>
  </si>
  <si>
    <t xml:space="preserve">hypothetical protein PRUPE_ppa003012mg  </t>
  </si>
  <si>
    <t>Bma026892.1</t>
  </si>
  <si>
    <t xml:space="preserve">WD repeat-containing protein 43  </t>
  </si>
  <si>
    <t>Bma026982.1</t>
  </si>
  <si>
    <t xml:space="preserve">putative E3 ubiquitin-protein ligase UBR7  </t>
  </si>
  <si>
    <t>Bma027098.1</t>
  </si>
  <si>
    <t xml:space="preserve">U3 small nucleolar ribonucleoprotein protein MPP10 </t>
  </si>
  <si>
    <t>Bma027110.1</t>
  </si>
  <si>
    <t xml:space="preserve">N-alpha-acetyltransferase 40 </t>
  </si>
  <si>
    <t>Bma027203.2</t>
  </si>
  <si>
    <t xml:space="preserve">uncharacterized protein LOC105138274 </t>
  </si>
  <si>
    <t>Bma027264.1</t>
  </si>
  <si>
    <t xml:space="preserve">cytochrome P450 78A5 </t>
  </si>
  <si>
    <t>Bma027301.1</t>
  </si>
  <si>
    <t xml:space="preserve">ATP-dependent Clp protease ATP-binding subunit clpA homolog CD4B, chloroplastic </t>
  </si>
  <si>
    <t>Bma027329.1</t>
  </si>
  <si>
    <t>Bma027429.1</t>
  </si>
  <si>
    <t xml:space="preserve">probable quinone oxidoreductase  </t>
  </si>
  <si>
    <t>Bma028214.1</t>
  </si>
  <si>
    <t xml:space="preserve">Gb:AAF04863.1  </t>
  </si>
  <si>
    <t>Bma028219.1</t>
  </si>
  <si>
    <t xml:space="preserve">ent-kaurene synthase </t>
  </si>
  <si>
    <t>Bma028261.2</t>
  </si>
  <si>
    <t xml:space="preserve">zinc finger HIT domain-containing protein 2 isoform X1  </t>
  </si>
  <si>
    <t>Bma028331.1</t>
  </si>
  <si>
    <t xml:space="preserve">RNI-like superfamily protein  </t>
  </si>
  <si>
    <t>Bma028365.1</t>
  </si>
  <si>
    <t xml:space="preserve">hypothetical protein PRUPE_ppa001434mg  </t>
  </si>
  <si>
    <t>Bma028413.1</t>
  </si>
  <si>
    <t xml:space="preserve">eukaryotic translation initiation factor 3 subunit, putative </t>
  </si>
  <si>
    <t>Bma028438.1</t>
  </si>
  <si>
    <t>Bma028492.1</t>
  </si>
  <si>
    <t xml:space="preserve">WRKY transcription factor 55 </t>
  </si>
  <si>
    <t>Bma028520.6</t>
  </si>
  <si>
    <t xml:space="preserve">hypothetical protein PRUPE_ppa002525mg  </t>
  </si>
  <si>
    <t>Bma028529.2</t>
  </si>
  <si>
    <t xml:space="preserve">probable zinc metalloprotease EGY2, chloroplastic isoform X2  </t>
  </si>
  <si>
    <t>Bma028594.1</t>
  </si>
  <si>
    <t xml:space="preserve">uncharacterized protein LOC103432458 isoform X2 </t>
  </si>
  <si>
    <t>Bma028615.1</t>
  </si>
  <si>
    <t xml:space="preserve">3-phosphoinositide-dependent protein kinase 1-like  </t>
  </si>
  <si>
    <t>Bma028634.1</t>
  </si>
  <si>
    <t xml:space="preserve">hypothetical protein B456_013G015200 </t>
  </si>
  <si>
    <t>Bma028700.1</t>
  </si>
  <si>
    <t xml:space="preserve">Gag-protease-integrase-RT-RNaseH polyprotein </t>
  </si>
  <si>
    <t>Bma028780.1</t>
  </si>
  <si>
    <t xml:space="preserve">uncharacterized protein LOC101205995 </t>
  </si>
  <si>
    <t>Bma028804.1</t>
  </si>
  <si>
    <t xml:space="preserve">Uncharacterized protein TCM_000231  </t>
  </si>
  <si>
    <t>Bma029020.1</t>
  </si>
  <si>
    <t xml:space="preserve">trafficking protein particle complex subunit 11 </t>
  </si>
  <si>
    <t>Bma029216.1</t>
  </si>
  <si>
    <t>Bma029536.1</t>
  </si>
  <si>
    <t xml:space="preserve">protein SLOW GREEN 1, chloroplastic isoform X2  </t>
  </si>
  <si>
    <t>Bma029680.1</t>
  </si>
  <si>
    <t>Bma029695.1</t>
  </si>
  <si>
    <t>Bma029718.1</t>
  </si>
  <si>
    <t xml:space="preserve">uncharacterized protein LOC105640214 </t>
  </si>
  <si>
    <t>Bma029809.1</t>
  </si>
  <si>
    <t xml:space="preserve">Bidirectional sugar transporter NEC1  </t>
  </si>
  <si>
    <t>Bma029859.1</t>
  </si>
  <si>
    <t xml:space="preserve">ras-related protein RABA5e  </t>
  </si>
  <si>
    <t>Bma029864.1</t>
  </si>
  <si>
    <t xml:space="preserve">hypothetical protein CICLE_v10019564mg  </t>
  </si>
  <si>
    <t>Bma029869.2</t>
  </si>
  <si>
    <t xml:space="preserve">glutathione gamma-glutamylcysteinyltransferase 1 </t>
  </si>
  <si>
    <t>Bma029912.1</t>
  </si>
  <si>
    <t xml:space="preserve">DNA-directed RNA polymerases II and V subunit 8A  </t>
  </si>
  <si>
    <t>Bma029958.1</t>
  </si>
  <si>
    <t xml:space="preserve">24-sterol C-methyltransferase </t>
  </si>
  <si>
    <t>Bma029959.2</t>
  </si>
  <si>
    <t xml:space="preserve">alpha-N-acetylglucosaminidase </t>
  </si>
  <si>
    <t>Bma030052.1</t>
  </si>
  <si>
    <t xml:space="preserve">N-alpha-acetyltransferase 16, NatA auxiliary subunit isoform X1  </t>
  </si>
  <si>
    <t>Bma030062.1</t>
  </si>
  <si>
    <t xml:space="preserve">regulator of telomere elongation helicase 1 homolog isoform X1  </t>
  </si>
  <si>
    <t>Bma030085.1</t>
  </si>
  <si>
    <t xml:space="preserve">hypothetical protein PRUPE_ppa000849mg  </t>
  </si>
  <si>
    <t>Bma030129.2</t>
  </si>
  <si>
    <t xml:space="preserve">von Willebrand factor A domain-containing protein 5A isoform X1  </t>
  </si>
  <si>
    <t>Bma030186</t>
  </si>
  <si>
    <t xml:space="preserve">Flavin containing amine oxidoreductase family  </t>
  </si>
  <si>
    <t>Bma030208</t>
  </si>
  <si>
    <t xml:space="preserve">putative ycf20 </t>
  </si>
  <si>
    <t>Bma030301</t>
  </si>
  <si>
    <t xml:space="preserve">hypothetical protein CICLE_v10001788mg  </t>
  </si>
  <si>
    <t>Bma030306</t>
  </si>
  <si>
    <t xml:space="preserve">2-on-2 hemoglobin </t>
  </si>
  <si>
    <t>Bma030321</t>
  </si>
  <si>
    <t xml:space="preserve">pentatricopeptide repeat-containing protein At3g53360, mitochondrial </t>
  </si>
  <si>
    <t>Bma030378</t>
  </si>
  <si>
    <t>Bma030383</t>
  </si>
  <si>
    <t xml:space="preserve">periodic tryptophan protein 2 homolog  </t>
  </si>
  <si>
    <t>Bma030396</t>
  </si>
  <si>
    <t xml:space="preserve">protein PALE CRESS, chloroplastic  </t>
  </si>
  <si>
    <t>Bma030429</t>
  </si>
  <si>
    <t xml:space="preserve">hypothetical protein L484_007965  </t>
  </si>
  <si>
    <t>Bma030530</t>
  </si>
  <si>
    <t xml:space="preserve">protein tipD  </t>
  </si>
  <si>
    <t>Bma030549</t>
  </si>
  <si>
    <t xml:space="preserve">Transducin beta-like protein 2  </t>
  </si>
  <si>
    <t>Bma030569</t>
  </si>
  <si>
    <t xml:space="preserve">protein GAMETE EXPRESSED 3 </t>
  </si>
  <si>
    <t>Bma030686</t>
  </si>
  <si>
    <t xml:space="preserve">chaperonin 60 subunit alpha 2, chloroplastic  </t>
  </si>
  <si>
    <t>Bma030808</t>
  </si>
  <si>
    <t xml:space="preserve">alanine--tRNA ligase, cytoplasmic  </t>
  </si>
  <si>
    <t>Bma030810</t>
  </si>
  <si>
    <t xml:space="preserve">hypothetical protein PRUPE_ppa005383mg  </t>
  </si>
  <si>
    <t>Bma030852</t>
  </si>
  <si>
    <t>Bma030953</t>
  </si>
  <si>
    <t xml:space="preserve">myosin-1  </t>
  </si>
  <si>
    <t>Bma030958</t>
  </si>
  <si>
    <t xml:space="preserve">glycerol-3-phosphate dehydrogenase SDP6, mitochondrial  </t>
  </si>
  <si>
    <t>Bma030962</t>
  </si>
  <si>
    <t xml:space="preserve">syntaxin-81 isoform X2 </t>
  </si>
  <si>
    <t>Bma030963</t>
  </si>
  <si>
    <t>probable sugar phosphate</t>
  </si>
  <si>
    <t>Bma030969</t>
  </si>
  <si>
    <t xml:space="preserve">uncharacterized RNA-binding protein C1827.05c </t>
  </si>
  <si>
    <t>Bma030995</t>
  </si>
  <si>
    <t xml:space="preserve">uncharacterized protein LOC100305515  </t>
  </si>
  <si>
    <t>Bma031098</t>
  </si>
  <si>
    <t xml:space="preserve">Activator of 90 kDa heat shock protein ATPase-1-like protein  </t>
  </si>
  <si>
    <t>Bma031104</t>
  </si>
  <si>
    <t xml:space="preserve">hypothetical protein CICLE_v10013772mg  </t>
  </si>
  <si>
    <t>Bma031112</t>
  </si>
  <si>
    <t xml:space="preserve">Tetratricopeptide repeat (TPR)-like superfamily protein, putative  </t>
  </si>
  <si>
    <t>Bma031115</t>
  </si>
  <si>
    <t xml:space="preserve">uncharacterized protein LOC103433176 </t>
  </si>
  <si>
    <t>Bma031169</t>
  </si>
  <si>
    <t xml:space="preserve">hypothetical protein L484_016045  </t>
  </si>
  <si>
    <t>Bma031195</t>
  </si>
  <si>
    <t xml:space="preserve">stromal 70 kDa heat shock-related protein, chloroplastic </t>
  </si>
  <si>
    <t>Bma031249</t>
  </si>
  <si>
    <t xml:space="preserve">membrin-11 </t>
  </si>
  <si>
    <t>Bma031274</t>
  </si>
  <si>
    <t xml:space="preserve">hypothetical protein PRUPE_ppa017205mg, partial  </t>
  </si>
  <si>
    <t>Bma031288</t>
  </si>
  <si>
    <t xml:space="preserve">uncharacterized protein LOC102617215 </t>
  </si>
  <si>
    <t>Bma031301</t>
  </si>
  <si>
    <t xml:space="preserve">UPF0057 membrane protein At4g30660  </t>
  </si>
  <si>
    <t>Bma031349</t>
  </si>
  <si>
    <t xml:space="preserve">ruvB-like protein 1  </t>
  </si>
  <si>
    <t>Bma031384</t>
  </si>
  <si>
    <t xml:space="preserve">bax inhibitor 1-like </t>
  </si>
  <si>
    <t>Bma031391</t>
  </si>
  <si>
    <t xml:space="preserve">YTH domain-containing protein 1 </t>
  </si>
  <si>
    <t>Bma031407</t>
  </si>
  <si>
    <t xml:space="preserve">T-complex protein 1 subunit eta-like </t>
  </si>
  <si>
    <t>Bma031440</t>
  </si>
  <si>
    <t xml:space="preserve">2-amino-3-ketobutyrate coenzyme A ligase, mitochondrial isoform X2 </t>
  </si>
  <si>
    <t>Bma031480</t>
  </si>
  <si>
    <t xml:space="preserve">WEB family protein At2g40480 isoform X1 </t>
  </si>
  <si>
    <t>Bma031511</t>
  </si>
  <si>
    <t xml:space="preserve">acyl-coenzyme A thioesterase 9, mitochondrial-like  </t>
  </si>
  <si>
    <t>Bma031519</t>
  </si>
  <si>
    <t xml:space="preserve">snurportin-1  </t>
  </si>
  <si>
    <t>Bma031520</t>
  </si>
  <si>
    <t xml:space="preserve">SNF1-related protein kinase regulatory subunit gamma-1  </t>
  </si>
  <si>
    <t>Bma001025.2</t>
  </si>
  <si>
    <t>Bma001635.1</t>
  </si>
  <si>
    <t xml:space="preserve">abnormal spindle-like microcephaly-associated protein homolog isoform X1  </t>
  </si>
  <si>
    <t>Bma001787.1</t>
  </si>
  <si>
    <t xml:space="preserve">Uncharacterized protein TCM_034930  </t>
  </si>
  <si>
    <t>Bma001910.1</t>
  </si>
  <si>
    <t xml:space="preserve">uncharacterized protein ycf23-like </t>
  </si>
  <si>
    <t>Bma002499.1</t>
  </si>
  <si>
    <t xml:space="preserve">hypothetical protein VITISV_031882 </t>
  </si>
  <si>
    <t>Bma002573.1</t>
  </si>
  <si>
    <t>Bma003209.1</t>
  </si>
  <si>
    <t xml:space="preserve">dehydration-responsive element-binding protein 2D-like  </t>
  </si>
  <si>
    <t>Bma003529.1</t>
  </si>
  <si>
    <t xml:space="preserve">proline--tRNA ligase </t>
  </si>
  <si>
    <t>Bma004962.1</t>
  </si>
  <si>
    <t>Bma005972.1</t>
  </si>
  <si>
    <t xml:space="preserve">ABC transporter G family member 32  </t>
  </si>
  <si>
    <t>Bma005990.1</t>
  </si>
  <si>
    <t xml:space="preserve">uncharacterized protein LOC103962955 </t>
  </si>
  <si>
    <t>Bma006884.1</t>
  </si>
  <si>
    <t>Bma006887.1</t>
  </si>
  <si>
    <t xml:space="preserve">potassium transporter 11-like </t>
  </si>
  <si>
    <t>Bma007134.1</t>
  </si>
  <si>
    <t xml:space="preserve">hypothetical protein VITISV_015902 </t>
  </si>
  <si>
    <t>Bma007135.1</t>
  </si>
  <si>
    <t xml:space="preserve">uncharacterized protein LOC100806586  </t>
  </si>
  <si>
    <t>Bma007785.1</t>
  </si>
  <si>
    <t xml:space="preserve">putative RING-H2 finger protein ATL21A  </t>
  </si>
  <si>
    <t>Bma008122.1</t>
  </si>
  <si>
    <t xml:space="preserve">acyl-coenzyme A oxidase 3, peroxisomal-like  </t>
  </si>
  <si>
    <t>Bma008153.1</t>
  </si>
  <si>
    <t xml:space="preserve">thymidine kinase </t>
  </si>
  <si>
    <t>Bma008240.2</t>
  </si>
  <si>
    <t xml:space="preserve">hypothetical protein POPTR_0009s14130g  </t>
  </si>
  <si>
    <t>Bma008318.1</t>
  </si>
  <si>
    <t xml:space="preserve">zinc finger protein 346 </t>
  </si>
  <si>
    <t>Bma009021.1</t>
  </si>
  <si>
    <t>Bma009403.2</t>
  </si>
  <si>
    <t xml:space="preserve">sulfite oxidase </t>
  </si>
  <si>
    <t>Bma009619.1</t>
  </si>
  <si>
    <t xml:space="preserve">calcineurin subunit B  </t>
  </si>
  <si>
    <t>Bma010276.1</t>
  </si>
  <si>
    <t xml:space="preserve">zinc finger protein ZAT3-like </t>
  </si>
  <si>
    <t>Bma012337.2</t>
  </si>
  <si>
    <t xml:space="preserve">MATE efflux family protein 5-like </t>
  </si>
  <si>
    <t>Bma012403.1</t>
  </si>
  <si>
    <t>Bma012580.1</t>
  </si>
  <si>
    <t xml:space="preserve">ABC transporter B family member 26  </t>
  </si>
  <si>
    <t>Bma012802.1</t>
  </si>
  <si>
    <t xml:space="preserve">uncharacterized protein LOC103333671 </t>
  </si>
  <si>
    <t>Bma013362.2</t>
  </si>
  <si>
    <t>bifunctional aspartate aminotransferase and glutamate</t>
  </si>
  <si>
    <t>Bma013593.1</t>
  </si>
  <si>
    <t xml:space="preserve">WD repeat-containing protein 5 </t>
  </si>
  <si>
    <t>Bma013671.1</t>
  </si>
  <si>
    <t xml:space="preserve">protein XRI1 </t>
  </si>
  <si>
    <t>Bma014469.1</t>
  </si>
  <si>
    <t xml:space="preserve">U-box domain-containing protein 13  </t>
  </si>
  <si>
    <t>Bma014648.1</t>
  </si>
  <si>
    <t xml:space="preserve">pentatricopeptide repeat-containing protein At3g53170-like, partial </t>
  </si>
  <si>
    <t>Bma015446.1</t>
  </si>
  <si>
    <t xml:space="preserve">ammonium transporter family protein  </t>
  </si>
  <si>
    <t>Bma016180.2</t>
  </si>
  <si>
    <t xml:space="preserve">probable histone-lysine N-methyltransferase ATXR3 </t>
  </si>
  <si>
    <t>Bma016953.1</t>
  </si>
  <si>
    <t xml:space="preserve">hypothetical protein CISIN_1g0207781mg  </t>
  </si>
  <si>
    <t>Bma018639.1</t>
  </si>
  <si>
    <t xml:space="preserve">cytochrome P450 82A1-like </t>
  </si>
  <si>
    <t>Bma018929.2</t>
  </si>
  <si>
    <t xml:space="preserve">transcription factor bHLH48  </t>
  </si>
  <si>
    <t>Bma020615.1</t>
  </si>
  <si>
    <t>Bma021185.1</t>
  </si>
  <si>
    <t>Bma021875.1</t>
  </si>
  <si>
    <t xml:space="preserve">hypothetical protein PRUPE_ppa014788mg  </t>
  </si>
  <si>
    <t>Bma022025.1</t>
  </si>
  <si>
    <t>bis(5</t>
  </si>
  <si>
    <t>Bma022648.1</t>
  </si>
  <si>
    <t xml:space="preserve">AMSH-like ubiquitin thioesterase 1  </t>
  </si>
  <si>
    <t>Bma022855.1</t>
  </si>
  <si>
    <t>Bma022917.1</t>
  </si>
  <si>
    <t xml:space="preserve">coiled-coil domain-containing protein SCD2-like isoform X1  </t>
  </si>
  <si>
    <t>Bma024566.1</t>
  </si>
  <si>
    <t xml:space="preserve">squamosa promoter-binding-like protein 12 </t>
  </si>
  <si>
    <t>Bma024881.1</t>
  </si>
  <si>
    <t xml:space="preserve">uncharacterized protein LOC100305645  </t>
  </si>
  <si>
    <t>Bma025158.2</t>
  </si>
  <si>
    <t xml:space="preserve">sphingolipid delta(4)-desaturase DES1 </t>
  </si>
  <si>
    <t>Bma025860.1</t>
  </si>
  <si>
    <t xml:space="preserve">trehalose-6-phosphate synthase-11 </t>
  </si>
  <si>
    <t>Bma026376.1</t>
  </si>
  <si>
    <t xml:space="preserve">HIV Tat-specific factor 1 homolog </t>
  </si>
  <si>
    <t>Bma027091.2</t>
  </si>
  <si>
    <t xml:space="preserve">hypothetical protein Csa_1G004310 </t>
  </si>
  <si>
    <t>Bma027122.1</t>
  </si>
  <si>
    <t xml:space="preserve">Homeodomain-like superfamily protein, putative isoform 1  </t>
  </si>
  <si>
    <t>Bma028023.1</t>
  </si>
  <si>
    <t xml:space="preserve">glucose-6-phosphate 1-dehydrogenase 1, chloroplastic-like  </t>
  </si>
  <si>
    <t>Bma029516.1</t>
  </si>
  <si>
    <t xml:space="preserve">riboflavin biosynthesis protein PYRD, chloroplastic-like  </t>
  </si>
  <si>
    <t>Bma029722.1</t>
  </si>
  <si>
    <t>Transducin</t>
  </si>
  <si>
    <t>Bma029832.4</t>
  </si>
  <si>
    <t xml:space="preserve">beta-glucosidase 11-like isoform X2 </t>
  </si>
  <si>
    <t>Bma030002.1</t>
  </si>
  <si>
    <t xml:space="preserve">uncharacterized protein LOC105769079  </t>
  </si>
  <si>
    <t>Bma030325</t>
  </si>
  <si>
    <t xml:space="preserve">hypothetical protein PHAVU_001G179900g  </t>
  </si>
  <si>
    <r>
      <rPr>
        <b/>
        <sz val="12"/>
        <color theme="1"/>
        <rFont val="Times New Roman Regular"/>
        <charset val="134"/>
      </rPr>
      <t xml:space="preserve">Table S11 </t>
    </r>
    <r>
      <rPr>
        <sz val="12"/>
        <color theme="1"/>
        <rFont val="Times New Roman Regular"/>
        <charset val="134"/>
      </rPr>
      <t xml:space="preserve">GO enrichment analyses of genes detected in four species affected by loss-of-function (LOF) mutations. </t>
    </r>
  </si>
  <si>
    <t>Class</t>
  </si>
  <si>
    <t>GO_Name</t>
  </si>
  <si>
    <t>GO_ID</t>
  </si>
  <si>
    <t>GO_Level</t>
  </si>
  <si>
    <t>P_value</t>
  </si>
  <si>
    <t>EnrichmentScore</t>
  </si>
  <si>
    <t>Corrected p-value(BH method)</t>
  </si>
  <si>
    <t>Molecular function</t>
  </si>
  <si>
    <t>ATP-dependent activity</t>
  </si>
  <si>
    <t>GO:0140657</t>
  </si>
  <si>
    <t>catalytic activity, acting on a nucleic acid</t>
  </si>
  <si>
    <t>GO:0140640</t>
  </si>
  <si>
    <t>magnesium ion binding</t>
  </si>
  <si>
    <t>GO:0000287</t>
  </si>
  <si>
    <t>purine nucleotide binding</t>
  </si>
  <si>
    <t>GO:0017076</t>
  </si>
  <si>
    <t>nucleotide binding</t>
  </si>
  <si>
    <t>GO:0000166</t>
  </si>
  <si>
    <t>nucleoside phosphate binding</t>
  </si>
  <si>
    <t>GO:1901265</t>
  </si>
  <si>
    <t>adenyl nucleotide binding</t>
  </si>
  <si>
    <t>GO:0030554</t>
  </si>
  <si>
    <t>catalytic activity, acting on RNA</t>
  </si>
  <si>
    <t>GO:0140098</t>
  </si>
  <si>
    <t>helicase activity</t>
  </si>
  <si>
    <t>GO:0004386</t>
  </si>
  <si>
    <t>carbon-oxygen lyase activity</t>
  </si>
  <si>
    <t>GO:0016835</t>
  </si>
  <si>
    <t>small molecule binding</t>
  </si>
  <si>
    <t>GO:0036094</t>
  </si>
  <si>
    <t>Cellular component</t>
  </si>
  <si>
    <t>apoplast</t>
  </si>
  <si>
    <t>GO:0048046</t>
  </si>
  <si>
    <t>endopeptidase complex</t>
  </si>
  <si>
    <t>GO:1905369</t>
  </si>
  <si>
    <t>peptidase complex</t>
  </si>
  <si>
    <t>GO:1905368</t>
  </si>
  <si>
    <t>vacuolar membrane</t>
  </si>
  <si>
    <t>GO:0005774</t>
  </si>
  <si>
    <t>organelle membrane</t>
  </si>
  <si>
    <t>GO:0031090</t>
  </si>
  <si>
    <t>Biological process</t>
  </si>
  <si>
    <t>organic cyclic compound catabolic process</t>
  </si>
  <si>
    <t>GO:1901361</t>
  </si>
  <si>
    <t>carbohydrate catabolic process</t>
  </si>
  <si>
    <t>GO:0016052</t>
  </si>
  <si>
    <t>translational initiation</t>
  </si>
  <si>
    <t>GO:0006413</t>
  </si>
  <si>
    <t>aromatic compound catabolic process</t>
  </si>
  <si>
    <t>GO:0019439</t>
  </si>
  <si>
    <t>ribonucleoprotein complex biogenesis</t>
  </si>
  <si>
    <t>GO:0022613</t>
  </si>
  <si>
    <t>B. longangensis</t>
  </si>
  <si>
    <t>ribonucleoprotein complex binding</t>
  </si>
  <si>
    <t>GO:0043021</t>
  </si>
  <si>
    <t>protein-containing complex binding</t>
  </si>
  <si>
    <t>GO:0044877</t>
  </si>
  <si>
    <t>cytoskeletal motor activity</t>
  </si>
  <si>
    <t>GO:0003774</t>
  </si>
  <si>
    <t>translation initiation factor activity</t>
  </si>
  <si>
    <t>GO:0003743</t>
  </si>
  <si>
    <t>iron-sulfur cluster binding</t>
  </si>
  <si>
    <t>GO:0051536</t>
  </si>
  <si>
    <t>metal cluster binding</t>
  </si>
  <si>
    <t>GO:0051540</t>
  </si>
  <si>
    <t>plasma membrane</t>
  </si>
  <si>
    <t>GO:0005886</t>
  </si>
  <si>
    <t>anion binding</t>
  </si>
  <si>
    <t>GO:0043168</t>
  </si>
  <si>
    <t>microtubule motor activity</t>
  </si>
  <si>
    <t>GO:0003777</t>
  </si>
  <si>
    <t>nucleotidyltransferase activity</t>
  </si>
  <si>
    <t>GO:0016779</t>
  </si>
  <si>
    <t>ATP-dependent activity, acting on DNA</t>
  </si>
  <si>
    <t>GO:0008094</t>
  </si>
  <si>
    <t>catalytic activity, acting on DNA</t>
  </si>
  <si>
    <t>GO:0140097</t>
  </si>
  <si>
    <t>microtubule binding</t>
  </si>
  <si>
    <t>GO:0008017</t>
  </si>
  <si>
    <t>transferase activity, transferring phosphorus-containing groups</t>
  </si>
  <si>
    <t>GO:0016772</t>
  </si>
  <si>
    <t>pyridoxal phosphate binding</t>
  </si>
  <si>
    <t>GO:0030170</t>
  </si>
  <si>
    <t>vitamin B6 binding</t>
  </si>
  <si>
    <t>GO:0070279</t>
  </si>
  <si>
    <t>tubulin binding</t>
  </si>
  <si>
    <t>GO:0015631</t>
  </si>
  <si>
    <t>purine ribonucleoside triphosphate binding</t>
  </si>
  <si>
    <t>GO:0035639</t>
  </si>
  <si>
    <t>ATP binding</t>
  </si>
  <si>
    <t>GO:0005524</t>
  </si>
  <si>
    <t>purine ribonucleotide binding</t>
  </si>
  <si>
    <t>GO:0032555</t>
  </si>
  <si>
    <t>adenyl ribonucleotide binding</t>
  </si>
  <si>
    <t>GO:0032559</t>
  </si>
  <si>
    <t>vitamin binding</t>
  </si>
  <si>
    <t>GO:0019842</t>
  </si>
  <si>
    <t>ribonucleotide binding</t>
  </si>
  <si>
    <t>GO:0032553</t>
  </si>
  <si>
    <t>cytoskeletal protein binding</t>
  </si>
  <si>
    <t>GO:0008092</t>
  </si>
  <si>
    <t>carbohydrate derivative binding</t>
  </si>
  <si>
    <t>GO:0097367</t>
  </si>
  <si>
    <t>unfolded protein binding</t>
  </si>
  <si>
    <t>GO:0051082</t>
  </si>
  <si>
    <t>oxidoreductase activity, acting on the CH-CH group of donors</t>
  </si>
  <si>
    <t>GO:0016627</t>
  </si>
  <si>
    <t>cytoskeleton</t>
  </si>
  <si>
    <t>GO:0005856</t>
  </si>
  <si>
    <t>microtubule cytoskeleton</t>
  </si>
  <si>
    <t>GO:0015630</t>
  </si>
  <si>
    <t>microtubule</t>
  </si>
  <si>
    <t>GO:0005874</t>
  </si>
  <si>
    <t>polymeric cytoskeletal fiber</t>
  </si>
  <si>
    <t>GO:0099513</t>
  </si>
  <si>
    <t>supramolecular polymer</t>
  </si>
  <si>
    <t>GO:0099081</t>
  </si>
  <si>
    <t>supramolecular fiber</t>
  </si>
  <si>
    <t>GO:0099512</t>
  </si>
  <si>
    <t>chromosome organization</t>
  </si>
  <si>
    <t>GO:0051276</t>
  </si>
  <si>
    <t>plant organ morphogenesis</t>
  </si>
  <si>
    <t>GO:1905392</t>
  </si>
  <si>
    <t>DNA conformation change</t>
  </si>
  <si>
    <t>GO:0071103</t>
  </si>
  <si>
    <t>organelle organization</t>
  </si>
  <si>
    <t>GO:0006996</t>
  </si>
  <si>
    <t>microtubule-based movement</t>
  </si>
  <si>
    <t>GO:0007018</t>
  </si>
  <si>
    <t>shoot system morphogenesis</t>
  </si>
  <si>
    <t>GO:0010016</t>
  </si>
  <si>
    <t>tetrapyrrole metabolic process</t>
  </si>
  <si>
    <t>GO:0033013</t>
  </si>
  <si>
    <t>post-embryonic plant morphogenesis</t>
  </si>
  <si>
    <t>GO:0090698</t>
  </si>
  <si>
    <t>anatomical structure morphogenesis</t>
  </si>
  <si>
    <t>GO:0009653</t>
  </si>
  <si>
    <t>leaf development</t>
  </si>
  <si>
    <t>GO:0048366</t>
  </si>
  <si>
    <t>cellular component organization or biogenesis</t>
  </si>
  <si>
    <t>GO:0071840</t>
  </si>
  <si>
    <t>cellular response to lipid</t>
  </si>
  <si>
    <t>GO:0071396</t>
  </si>
  <si>
    <t>phyllome development</t>
  </si>
  <si>
    <t>GO:0048827</t>
  </si>
  <si>
    <t>amino acid biosynthetic process</t>
  </si>
  <si>
    <t>GO:0008652</t>
  </si>
  <si>
    <t>cellular response to oxygen-containing compound</t>
  </si>
  <si>
    <t>GO:1901701</t>
  </si>
  <si>
    <t>anatomical structure formation involved in morphogenesis</t>
  </si>
  <si>
    <t>GO:0048646</t>
  </si>
  <si>
    <t>cellular component organization</t>
  </si>
  <si>
    <t>GO:0016043</t>
  </si>
  <si>
    <t>response to lipid</t>
  </si>
  <si>
    <t>GO:0033993</t>
  </si>
  <si>
    <t>shoot system development</t>
  </si>
  <si>
    <t>GO:0048367</t>
  </si>
  <si>
    <t>tissue development</t>
  </si>
  <si>
    <t>GO:0009888</t>
  </si>
  <si>
    <t>cellular response to hormone stimulus</t>
  </si>
  <si>
    <t>GO:0032870</t>
  </si>
  <si>
    <t>cellular response to endogenous stimulus</t>
  </si>
  <si>
    <t>GO:0071495</t>
  </si>
  <si>
    <t>microtubule-based process</t>
  </si>
  <si>
    <t>GO:0007017</t>
  </si>
  <si>
    <t>plant organ development</t>
  </si>
  <si>
    <t>GO:0099402</t>
  </si>
  <si>
    <t>amino acid metabolic process</t>
  </si>
  <si>
    <t>GO:0006520</t>
  </si>
  <si>
    <t>cellular response to organic substance</t>
  </si>
  <si>
    <t>GO:0071310</t>
  </si>
  <si>
    <t>cellular component biogenesis</t>
  </si>
  <si>
    <t>GO:0044085</t>
  </si>
  <si>
    <t>Note: The P value cutoff was set to 0.05.</t>
  </si>
  <si>
    <r>
      <rPr>
        <b/>
        <sz val="12"/>
        <color theme="1"/>
        <rFont val="Times New Roman Regular"/>
        <charset val="134"/>
      </rPr>
      <t xml:space="preserve">Table S12 </t>
    </r>
    <r>
      <rPr>
        <sz val="12"/>
        <color theme="1"/>
        <rFont val="Times New Roman Regular"/>
        <charset val="134"/>
      </rPr>
      <t>KEGG enrichment analyses of genes detected in four species affected by loss-of-function (LOF) mutations.</t>
    </r>
  </si>
  <si>
    <t>Term Name</t>
  </si>
  <si>
    <t>MainClass</t>
  </si>
  <si>
    <t>EnrichFactor</t>
  </si>
  <si>
    <t>03410 Base excision repair</t>
  </si>
  <si>
    <t>A09120 Genetic Information Processing</t>
  </si>
  <si>
    <t>03440 Homologous recombination</t>
  </si>
  <si>
    <t>03036 Chromosome and associated proteins</t>
  </si>
  <si>
    <t>A09180 Brite Hierarchies</t>
  </si>
  <si>
    <t>03032 DNA replication proteins</t>
  </si>
  <si>
    <t>B  09124 Replication and repair</t>
  </si>
  <si>
    <t>04040 Ion channels</t>
  </si>
  <si>
    <t>03021 Transcription machinery</t>
  </si>
  <si>
    <t>04812 Cytoskeleton proteins</t>
  </si>
  <si>
    <t>00071 Fatty acid degradation</t>
  </si>
  <si>
    <t>A09100 Metabolism</t>
  </si>
  <si>
    <t>00380 Tryptophan metabolism</t>
  </si>
  <si>
    <t>00910 Nitrogen metabolism</t>
  </si>
  <si>
    <t>03060 Protein export</t>
  </si>
  <si>
    <t>03012 Translation factors</t>
  </si>
  <si>
    <t>00230 Purine metabolism</t>
  </si>
  <si>
    <t>04146 Peroxisome</t>
  </si>
  <si>
    <t>A09140 Cellular Processes</t>
  </si>
  <si>
    <t>03400 DNA repair and recombination proteins</t>
  </si>
  <si>
    <t>03420 Nucleotide excision repair</t>
  </si>
  <si>
    <t>B  09131 Membrane transport</t>
  </si>
  <si>
    <t>A09130 Environmental Information Processing</t>
  </si>
  <si>
    <t>02010 ABC transporters</t>
  </si>
  <si>
    <t>04090 CD molecules</t>
  </si>
  <si>
    <t>01009 Protein phosphatases and associated proteins</t>
  </si>
  <si>
    <t>01007 Amino acid related enzymes</t>
  </si>
  <si>
    <t>00970 Aminoacyl-tRNA biosynthesis</t>
  </si>
  <si>
    <t>00564 Glycerophospholipid metabolism</t>
  </si>
  <si>
    <t>00531 Glycosaminoglycan degradation</t>
  </si>
  <si>
    <t>04147 Exosome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</si>
</sst>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_ "/>
    <numFmt numFmtId="178" formatCode="0.000_ "/>
    <numFmt numFmtId="179" formatCode="0.00_ "/>
  </numFmts>
  <fonts count="4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i/>
      <sz val="12"/>
      <color theme="1"/>
      <name val="Times New Roman Regular"/>
      <charset val="134"/>
    </font>
    <font>
      <b/>
      <i/>
      <sz val="12"/>
      <color theme="1"/>
      <name val="Times New Roman Regular"/>
      <charset val="134"/>
    </font>
    <font>
      <sz val="12"/>
      <name val="Times New Roman Regular"/>
      <charset val="134"/>
    </font>
    <font>
      <i/>
      <sz val="12"/>
      <name val="Times New Roman Regular"/>
      <charset val="134"/>
    </font>
    <font>
      <sz val="12"/>
      <name val="Times New Roman"/>
      <charset val="134"/>
    </font>
    <font>
      <sz val="12"/>
      <name val="Times New Roman Bold Italic"/>
      <charset val="134"/>
    </font>
    <font>
      <b/>
      <sz val="12"/>
      <color theme="1"/>
      <name val="Times New Roman Bold"/>
      <charset val="134"/>
    </font>
    <font>
      <i/>
      <sz val="12"/>
      <color theme="1"/>
      <name val="Times New Roman Italic"/>
      <charset val="134"/>
    </font>
    <font>
      <b/>
      <sz val="12"/>
      <name val="Times New Roman Regular"/>
      <charset val="134"/>
    </font>
    <font>
      <sz val="12"/>
      <color rgb="FF000000"/>
      <name val="Times New Roman Regular"/>
      <charset val="134"/>
    </font>
    <font>
      <i/>
      <sz val="12"/>
      <color rgb="FF000000"/>
      <name val="Times New Roman Italic"/>
      <charset val="134"/>
    </font>
    <font>
      <sz val="11"/>
      <color theme="1"/>
      <name val="Times New Roman Regular"/>
      <charset val="134"/>
    </font>
    <font>
      <i/>
      <sz val="12"/>
      <color rgb="FF000000"/>
      <name val="Times New Roman Regular"/>
      <charset val="134"/>
    </font>
    <font>
      <sz val="12"/>
      <name val="宋体"/>
      <charset val="134"/>
      <scheme val="minor"/>
    </font>
    <font>
      <b/>
      <sz val="12"/>
      <name val="Times New Roman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  <font>
      <vertAlign val="subscript"/>
      <sz val="12"/>
      <color theme="1"/>
      <name val="Times New Roman"/>
      <charset val="134"/>
    </font>
    <font>
      <i/>
      <sz val="12"/>
      <name val="Times New Roman Italic"/>
      <charset val="134"/>
    </font>
    <font>
      <i/>
      <vertAlign val="subscript"/>
      <sz val="12"/>
      <color theme="1"/>
      <name val="Times New Roman Italic"/>
      <charset val="134"/>
    </font>
    <font>
      <i/>
      <sz val="11"/>
      <color theme="1"/>
      <name val="Times New Roman Italic"/>
      <charset val="134"/>
    </font>
    <font>
      <vertAlign val="subscript"/>
      <sz val="11"/>
      <color theme="1"/>
      <name val="Times New Roman"/>
      <charset val="134"/>
    </font>
    <font>
      <sz val="12"/>
      <color theme="1"/>
      <name val="Times New Roman Bold"/>
      <charset val="134"/>
    </font>
    <font>
      <i/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7" applyNumberFormat="0" applyAlignment="0" applyProtection="0">
      <alignment vertical="center"/>
    </xf>
    <xf numFmtId="0" fontId="28" fillId="4" borderId="8" applyNumberFormat="0" applyAlignment="0" applyProtection="0">
      <alignment vertical="center"/>
    </xf>
    <xf numFmtId="0" fontId="29" fillId="4" borderId="7" applyNumberFormat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76" fontId="13" fillId="0" borderId="0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1" fontId="13" fillId="0" borderId="0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1" fontId="13" fillId="0" borderId="2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0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 wrapText="1"/>
    </xf>
    <xf numFmtId="0" fontId="15" fillId="0" borderId="0" xfId="0" applyFont="1" applyFill="1" applyAlignment="1">
      <alignment horizontal="center" vertical="center"/>
    </xf>
    <xf numFmtId="176" fontId="15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Fill="1" applyAlignment="1">
      <alignment vertical="center"/>
    </xf>
    <xf numFmtId="0" fontId="10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0" xfId="0" applyFont="1" applyFill="1">
      <alignment vertical="center"/>
    </xf>
    <xf numFmtId="0" fontId="6" fillId="0" borderId="0" xfId="0" applyFont="1" applyFill="1">
      <alignment vertical="center"/>
    </xf>
    <xf numFmtId="179" fontId="17" fillId="0" borderId="0" xfId="0" applyNumberFormat="1" applyFont="1" applyFill="1">
      <alignment vertical="center"/>
    </xf>
    <xf numFmtId="0" fontId="18" fillId="0" borderId="0" xfId="0" applyFont="1" applyFill="1" applyAlignment="1">
      <alignment horizontal="left" vertical="center"/>
    </xf>
    <xf numFmtId="176" fontId="6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left" vertical="center"/>
    </xf>
    <xf numFmtId="179" fontId="6" fillId="0" borderId="1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79" fontId="6" fillId="0" borderId="0" xfId="0" applyNumberFormat="1" applyFont="1" applyBorder="1" applyAlignment="1">
      <alignment horizontal="center" vertical="center"/>
    </xf>
    <xf numFmtId="179" fontId="13" fillId="0" borderId="0" xfId="0" applyNumberFormat="1" applyFont="1" applyBorder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9" fontId="6" fillId="0" borderId="2" xfId="0" applyNumberFormat="1" applyFont="1" applyBorder="1" applyAlignment="1">
      <alignment horizontal="center" vertical="center"/>
    </xf>
    <xf numFmtId="179" fontId="13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workbookViewId="0">
      <selection activeCell="A1" sqref="A1:H1"/>
    </sheetView>
  </sheetViews>
  <sheetFormatPr defaultColWidth="9.25" defaultRowHeight="17.6"/>
  <cols>
    <col min="1" max="5" width="20.5" style="86" customWidth="1"/>
    <col min="6" max="6" width="20.5" style="87" customWidth="1"/>
    <col min="7" max="7" width="18.875" style="87" customWidth="1"/>
    <col min="8" max="8" width="24.25" style="87" customWidth="1"/>
    <col min="9" max="16383" width="9.25" style="85"/>
  </cols>
  <sheetData>
    <row r="1" ht="18" spans="1:8">
      <c r="A1" s="88" t="s">
        <v>0</v>
      </c>
      <c r="B1" s="88"/>
      <c r="C1" s="88"/>
      <c r="D1" s="88"/>
      <c r="E1" s="88"/>
      <c r="F1" s="90"/>
      <c r="G1" s="90"/>
      <c r="H1" s="90"/>
    </row>
    <row r="2" spans="1:8">
      <c r="A2" s="46" t="s">
        <v>1</v>
      </c>
      <c r="B2" s="46" t="s">
        <v>2</v>
      </c>
      <c r="C2" s="46" t="s">
        <v>3</v>
      </c>
      <c r="D2" s="46" t="s">
        <v>4</v>
      </c>
      <c r="E2" s="46" t="s">
        <v>5</v>
      </c>
      <c r="F2" s="91" t="s">
        <v>6</v>
      </c>
      <c r="G2" s="92" t="s">
        <v>7</v>
      </c>
      <c r="H2" s="92" t="s">
        <v>8</v>
      </c>
    </row>
    <row r="3" spans="1:8">
      <c r="A3" s="48" t="s">
        <v>9</v>
      </c>
      <c r="B3" s="33" t="s">
        <v>10</v>
      </c>
      <c r="C3" s="33" t="s">
        <v>11</v>
      </c>
      <c r="D3" s="89">
        <v>106.905793</v>
      </c>
      <c r="E3" s="89">
        <v>22.460873</v>
      </c>
      <c r="F3" s="93">
        <v>92.61</v>
      </c>
      <c r="G3" s="94">
        <v>15.19</v>
      </c>
      <c r="H3" s="94">
        <v>65.11</v>
      </c>
    </row>
    <row r="4" spans="1:8">
      <c r="A4" s="48" t="s">
        <v>9</v>
      </c>
      <c r="B4" s="33" t="s">
        <v>12</v>
      </c>
      <c r="C4" s="33" t="s">
        <v>13</v>
      </c>
      <c r="D4" s="89">
        <v>106.905793</v>
      </c>
      <c r="E4" s="89">
        <v>22.460873</v>
      </c>
      <c r="F4" s="93">
        <v>96.48</v>
      </c>
      <c r="G4" s="94">
        <v>15.59</v>
      </c>
      <c r="H4" s="94">
        <v>62.89</v>
      </c>
    </row>
    <row r="5" spans="1:8">
      <c r="A5" s="48" t="s">
        <v>9</v>
      </c>
      <c r="B5" s="33" t="s">
        <v>14</v>
      </c>
      <c r="C5" s="33" t="s">
        <v>15</v>
      </c>
      <c r="D5" s="89">
        <v>106.905793</v>
      </c>
      <c r="E5" s="89">
        <v>22.460873</v>
      </c>
      <c r="F5" s="93">
        <v>96.01</v>
      </c>
      <c r="G5" s="94">
        <v>18.17</v>
      </c>
      <c r="H5" s="94">
        <v>63.37</v>
      </c>
    </row>
    <row r="6" spans="1:8">
      <c r="A6" s="48" t="s">
        <v>9</v>
      </c>
      <c r="B6" s="33" t="s">
        <v>16</v>
      </c>
      <c r="C6" s="33" t="s">
        <v>17</v>
      </c>
      <c r="D6" s="89">
        <v>106.913316</v>
      </c>
      <c r="E6" s="89">
        <v>22.452206</v>
      </c>
      <c r="F6" s="93">
        <v>94.85</v>
      </c>
      <c r="G6" s="94">
        <v>15.57</v>
      </c>
      <c r="H6" s="94">
        <v>68.94</v>
      </c>
    </row>
    <row r="7" spans="1:8">
      <c r="A7" s="48" t="s">
        <v>9</v>
      </c>
      <c r="B7" s="33" t="s">
        <v>18</v>
      </c>
      <c r="C7" s="33" t="s">
        <v>19</v>
      </c>
      <c r="D7" s="89">
        <v>106.913316</v>
      </c>
      <c r="E7" s="89">
        <v>22.452206</v>
      </c>
      <c r="F7" s="93">
        <v>96.35</v>
      </c>
      <c r="G7" s="94">
        <v>14.5</v>
      </c>
      <c r="H7" s="94">
        <v>65.03</v>
      </c>
    </row>
    <row r="8" spans="1:8">
      <c r="A8" s="48" t="s">
        <v>9</v>
      </c>
      <c r="B8" s="33" t="s">
        <v>20</v>
      </c>
      <c r="C8" s="33" t="s">
        <v>21</v>
      </c>
      <c r="D8" s="89">
        <v>106.913316</v>
      </c>
      <c r="E8" s="89">
        <v>22.452206</v>
      </c>
      <c r="F8" s="93">
        <v>96.72</v>
      </c>
      <c r="G8" s="94">
        <v>17.17</v>
      </c>
      <c r="H8" s="94">
        <v>69.55</v>
      </c>
    </row>
    <row r="9" spans="1:8">
      <c r="A9" s="48" t="s">
        <v>9</v>
      </c>
      <c r="B9" s="33" t="s">
        <v>22</v>
      </c>
      <c r="C9" s="33" t="s">
        <v>23</v>
      </c>
      <c r="D9" s="89">
        <v>106.914767</v>
      </c>
      <c r="E9" s="89">
        <v>22.453586</v>
      </c>
      <c r="F9" s="93">
        <v>97.12</v>
      </c>
      <c r="G9" s="94">
        <v>17.24</v>
      </c>
      <c r="H9" s="94">
        <v>64.23</v>
      </c>
    </row>
    <row r="10" spans="1:8">
      <c r="A10" s="48" t="s">
        <v>9</v>
      </c>
      <c r="B10" s="33" t="s">
        <v>24</v>
      </c>
      <c r="C10" s="33" t="s">
        <v>25</v>
      </c>
      <c r="D10" s="89">
        <v>106.914767</v>
      </c>
      <c r="E10" s="89">
        <v>22.453586</v>
      </c>
      <c r="F10" s="93">
        <v>96.89</v>
      </c>
      <c r="G10" s="94">
        <v>17.3</v>
      </c>
      <c r="H10" s="94">
        <v>63.31</v>
      </c>
    </row>
    <row r="11" spans="1:8">
      <c r="A11" s="48" t="s">
        <v>9</v>
      </c>
      <c r="B11" s="33" t="s">
        <v>26</v>
      </c>
      <c r="C11" s="33" t="s">
        <v>27</v>
      </c>
      <c r="D11" s="89">
        <v>106.914767</v>
      </c>
      <c r="E11" s="89">
        <v>22.453586</v>
      </c>
      <c r="F11" s="93">
        <v>94.88</v>
      </c>
      <c r="G11" s="94">
        <v>16.55</v>
      </c>
      <c r="H11" s="94">
        <v>64.29</v>
      </c>
    </row>
    <row r="12" spans="1:8">
      <c r="A12" s="48" t="s">
        <v>9</v>
      </c>
      <c r="B12" s="33" t="s">
        <v>28</v>
      </c>
      <c r="C12" s="33" t="s">
        <v>29</v>
      </c>
      <c r="D12" s="89">
        <v>106.908147</v>
      </c>
      <c r="E12" s="89">
        <v>22.478405</v>
      </c>
      <c r="F12" s="93">
        <v>94.92</v>
      </c>
      <c r="G12" s="94">
        <v>15.7</v>
      </c>
      <c r="H12" s="94">
        <v>61.86</v>
      </c>
    </row>
    <row r="13" spans="1:8">
      <c r="A13" s="48" t="s">
        <v>9</v>
      </c>
      <c r="B13" s="33" t="s">
        <v>30</v>
      </c>
      <c r="C13" s="33" t="s">
        <v>31</v>
      </c>
      <c r="D13" s="89">
        <v>106.908147</v>
      </c>
      <c r="E13" s="89">
        <v>22.478405</v>
      </c>
      <c r="F13" s="93">
        <v>96.31</v>
      </c>
      <c r="G13" s="94">
        <v>15.51</v>
      </c>
      <c r="H13" s="94">
        <v>63.51</v>
      </c>
    </row>
    <row r="14" spans="1:8">
      <c r="A14" s="48" t="s">
        <v>9</v>
      </c>
      <c r="B14" s="33" t="s">
        <v>32</v>
      </c>
      <c r="C14" s="33" t="s">
        <v>33</v>
      </c>
      <c r="D14" s="89">
        <v>106.908147</v>
      </c>
      <c r="E14" s="89">
        <v>22.478405</v>
      </c>
      <c r="F14" s="93">
        <v>95.66</v>
      </c>
      <c r="G14" s="94">
        <v>18.6</v>
      </c>
      <c r="H14" s="94">
        <v>64.35</v>
      </c>
    </row>
    <row r="15" spans="1:8">
      <c r="A15" s="48" t="s">
        <v>9</v>
      </c>
      <c r="B15" s="33" t="s">
        <v>34</v>
      </c>
      <c r="C15" s="33" t="s">
        <v>35</v>
      </c>
      <c r="D15" s="89">
        <v>106.903488</v>
      </c>
      <c r="E15" s="89">
        <v>22.485516</v>
      </c>
      <c r="F15" s="93">
        <v>95.26</v>
      </c>
      <c r="G15" s="94">
        <v>16.58</v>
      </c>
      <c r="H15" s="94">
        <v>63.83</v>
      </c>
    </row>
    <row r="16" spans="1:8">
      <c r="A16" s="48" t="s">
        <v>9</v>
      </c>
      <c r="B16" s="33" t="s">
        <v>36</v>
      </c>
      <c r="C16" s="33" t="s">
        <v>37</v>
      </c>
      <c r="D16" s="89">
        <v>106.903488</v>
      </c>
      <c r="E16" s="89">
        <v>22.485516</v>
      </c>
      <c r="F16" s="93">
        <v>94.91</v>
      </c>
      <c r="G16" s="94">
        <v>17.73</v>
      </c>
      <c r="H16" s="94">
        <v>64.85</v>
      </c>
    </row>
    <row r="17" spans="1:8">
      <c r="A17" s="48" t="s">
        <v>9</v>
      </c>
      <c r="B17" s="33" t="s">
        <v>38</v>
      </c>
      <c r="C17" s="33" t="s">
        <v>39</v>
      </c>
      <c r="D17" s="89">
        <v>106.903488</v>
      </c>
      <c r="E17" s="89">
        <v>22.485516</v>
      </c>
      <c r="F17" s="93">
        <v>90.79</v>
      </c>
      <c r="G17" s="94">
        <v>18.54</v>
      </c>
      <c r="H17" s="94">
        <v>64.83</v>
      </c>
    </row>
    <row r="18" spans="1:8">
      <c r="A18" s="48" t="s">
        <v>9</v>
      </c>
      <c r="B18" s="33" t="s">
        <v>40</v>
      </c>
      <c r="C18" s="33" t="s">
        <v>41</v>
      </c>
      <c r="D18" s="89">
        <v>106.953872</v>
      </c>
      <c r="E18" s="89">
        <v>22.470238</v>
      </c>
      <c r="F18" s="93">
        <v>96.93</v>
      </c>
      <c r="G18" s="94">
        <v>16.94</v>
      </c>
      <c r="H18" s="94">
        <v>64.8</v>
      </c>
    </row>
    <row r="19" spans="1:8">
      <c r="A19" s="48" t="s">
        <v>9</v>
      </c>
      <c r="B19" s="33" t="s">
        <v>42</v>
      </c>
      <c r="C19" s="33" t="s">
        <v>43</v>
      </c>
      <c r="D19" s="89">
        <v>106.953872</v>
      </c>
      <c r="E19" s="89">
        <v>22.470238</v>
      </c>
      <c r="F19" s="93">
        <v>97.53</v>
      </c>
      <c r="G19" s="94">
        <v>18.71</v>
      </c>
      <c r="H19" s="94">
        <v>64.22</v>
      </c>
    </row>
    <row r="20" spans="1:8">
      <c r="A20" s="48" t="s">
        <v>9</v>
      </c>
      <c r="B20" s="33" t="s">
        <v>44</v>
      </c>
      <c r="C20" s="33" t="s">
        <v>45</v>
      </c>
      <c r="D20" s="89">
        <v>106.953872</v>
      </c>
      <c r="E20" s="89">
        <v>22.470238</v>
      </c>
      <c r="F20" s="93">
        <v>95.14</v>
      </c>
      <c r="G20" s="94">
        <v>17.99</v>
      </c>
      <c r="H20" s="94">
        <v>63.28</v>
      </c>
    </row>
    <row r="21" spans="1:8">
      <c r="A21" s="48" t="s">
        <v>9</v>
      </c>
      <c r="B21" s="33" t="s">
        <v>46</v>
      </c>
      <c r="C21" s="33" t="s">
        <v>47</v>
      </c>
      <c r="D21" s="89">
        <v>106.8902993</v>
      </c>
      <c r="E21" s="89">
        <v>22.47645546</v>
      </c>
      <c r="F21" s="93">
        <v>86.97</v>
      </c>
      <c r="G21" s="94">
        <v>19.35</v>
      </c>
      <c r="H21" s="94">
        <v>65.51</v>
      </c>
    </row>
    <row r="22" spans="1:8">
      <c r="A22" s="48" t="s">
        <v>9</v>
      </c>
      <c r="B22" s="33" t="s">
        <v>48</v>
      </c>
      <c r="C22" s="33" t="s">
        <v>49</v>
      </c>
      <c r="D22" s="89">
        <v>106.8902993</v>
      </c>
      <c r="E22" s="89">
        <v>22.47645546</v>
      </c>
      <c r="F22" s="93">
        <v>75.71</v>
      </c>
      <c r="G22" s="94">
        <v>17.71</v>
      </c>
      <c r="H22" s="94">
        <v>64.52</v>
      </c>
    </row>
    <row r="23" spans="1:8">
      <c r="A23" s="48" t="s">
        <v>9</v>
      </c>
      <c r="B23" s="33" t="s">
        <v>50</v>
      </c>
      <c r="C23" s="33" t="s">
        <v>51</v>
      </c>
      <c r="D23" s="89">
        <v>106.8902993</v>
      </c>
      <c r="E23" s="89">
        <v>22.47645546</v>
      </c>
      <c r="F23" s="93">
        <v>51.75</v>
      </c>
      <c r="G23" s="94">
        <v>11.55</v>
      </c>
      <c r="H23" s="94">
        <v>60.84</v>
      </c>
    </row>
    <row r="24" spans="1:8">
      <c r="A24" s="48" t="s">
        <v>52</v>
      </c>
      <c r="B24" s="33" t="s">
        <v>53</v>
      </c>
      <c r="C24" s="33" t="s">
        <v>54</v>
      </c>
      <c r="D24" s="89">
        <v>106.906878</v>
      </c>
      <c r="E24" s="89">
        <v>22.456688</v>
      </c>
      <c r="F24" s="93">
        <v>95.44</v>
      </c>
      <c r="G24" s="94">
        <v>16.68</v>
      </c>
      <c r="H24" s="94">
        <v>65.89</v>
      </c>
    </row>
    <row r="25" spans="1:8">
      <c r="A25" s="48" t="s">
        <v>52</v>
      </c>
      <c r="B25" s="33" t="s">
        <v>55</v>
      </c>
      <c r="C25" s="33" t="s">
        <v>56</v>
      </c>
      <c r="D25" s="89">
        <v>106.906878</v>
      </c>
      <c r="E25" s="89">
        <v>22.456688</v>
      </c>
      <c r="F25" s="93">
        <v>97.77</v>
      </c>
      <c r="G25" s="94">
        <v>16.93</v>
      </c>
      <c r="H25" s="94">
        <v>67.35</v>
      </c>
    </row>
    <row r="26" spans="1:8">
      <c r="A26" s="48" t="s">
        <v>52</v>
      </c>
      <c r="B26" s="33" t="s">
        <v>57</v>
      </c>
      <c r="C26" s="33" t="s">
        <v>58</v>
      </c>
      <c r="D26" s="89">
        <v>106.906878</v>
      </c>
      <c r="E26" s="89">
        <v>22.456688</v>
      </c>
      <c r="F26" s="93">
        <v>97.81</v>
      </c>
      <c r="G26" s="94">
        <v>16.76</v>
      </c>
      <c r="H26" s="94">
        <v>66.79</v>
      </c>
    </row>
    <row r="27" spans="1:8">
      <c r="A27" s="48" t="s">
        <v>52</v>
      </c>
      <c r="B27" s="33" t="s">
        <v>59</v>
      </c>
      <c r="C27" s="33" t="s">
        <v>60</v>
      </c>
      <c r="D27" s="89">
        <v>106.95619</v>
      </c>
      <c r="E27" s="89">
        <v>22.426257</v>
      </c>
      <c r="F27" s="93">
        <v>96.73</v>
      </c>
      <c r="G27" s="94">
        <v>17.85</v>
      </c>
      <c r="H27" s="94">
        <v>66.74</v>
      </c>
    </row>
    <row r="28" spans="1:8">
      <c r="A28" s="48" t="s">
        <v>52</v>
      </c>
      <c r="B28" s="33" t="s">
        <v>61</v>
      </c>
      <c r="C28" s="33" t="s">
        <v>62</v>
      </c>
      <c r="D28" s="89">
        <v>106.95619</v>
      </c>
      <c r="E28" s="89">
        <v>22.426257</v>
      </c>
      <c r="F28" s="93">
        <v>95.8</v>
      </c>
      <c r="G28" s="94">
        <v>17.73</v>
      </c>
      <c r="H28" s="94">
        <v>66.84</v>
      </c>
    </row>
    <row r="29" spans="1:8">
      <c r="A29" s="48" t="s">
        <v>52</v>
      </c>
      <c r="B29" s="33" t="s">
        <v>63</v>
      </c>
      <c r="C29" s="33" t="s">
        <v>64</v>
      </c>
      <c r="D29" s="89">
        <v>106.95619</v>
      </c>
      <c r="E29" s="89">
        <v>22.426257</v>
      </c>
      <c r="F29" s="93">
        <v>96.59</v>
      </c>
      <c r="G29" s="94">
        <v>17.65</v>
      </c>
      <c r="H29" s="94">
        <v>65.54</v>
      </c>
    </row>
    <row r="30" spans="1:8">
      <c r="A30" s="48" t="s">
        <v>52</v>
      </c>
      <c r="B30" s="33" t="s">
        <v>65</v>
      </c>
      <c r="C30" s="33" t="s">
        <v>66</v>
      </c>
      <c r="D30" s="89">
        <v>106.959594</v>
      </c>
      <c r="E30" s="89">
        <v>22.435797</v>
      </c>
      <c r="F30" s="93">
        <v>96.63</v>
      </c>
      <c r="G30" s="94">
        <v>16.89</v>
      </c>
      <c r="H30" s="94">
        <v>66.43</v>
      </c>
    </row>
    <row r="31" spans="1:8">
      <c r="A31" s="48" t="s">
        <v>52</v>
      </c>
      <c r="B31" s="33" t="s">
        <v>67</v>
      </c>
      <c r="C31" s="33" t="s">
        <v>68</v>
      </c>
      <c r="D31" s="89">
        <v>106.95792</v>
      </c>
      <c r="E31" s="89">
        <v>22.437722</v>
      </c>
      <c r="F31" s="93">
        <v>96.27</v>
      </c>
      <c r="G31" s="94">
        <v>17.57</v>
      </c>
      <c r="H31" s="94">
        <v>66.32</v>
      </c>
    </row>
    <row r="32" spans="1:8">
      <c r="A32" s="48" t="s">
        <v>52</v>
      </c>
      <c r="B32" s="33" t="s">
        <v>69</v>
      </c>
      <c r="C32" s="33" t="s">
        <v>70</v>
      </c>
      <c r="D32" s="89">
        <v>106.956787</v>
      </c>
      <c r="E32" s="89">
        <v>22.436641</v>
      </c>
      <c r="F32" s="93">
        <v>95.06</v>
      </c>
      <c r="G32" s="94">
        <v>17.74</v>
      </c>
      <c r="H32" s="94">
        <v>66.97</v>
      </c>
    </row>
    <row r="33" spans="1:8">
      <c r="A33" s="48" t="s">
        <v>52</v>
      </c>
      <c r="B33" s="33" t="s">
        <v>71</v>
      </c>
      <c r="C33" s="33" t="s">
        <v>72</v>
      </c>
      <c r="D33" s="89">
        <v>106.95788</v>
      </c>
      <c r="E33" s="89">
        <v>22.437837</v>
      </c>
      <c r="F33" s="93">
        <v>96.75</v>
      </c>
      <c r="G33" s="94">
        <v>17.46</v>
      </c>
      <c r="H33" s="94">
        <v>66.95</v>
      </c>
    </row>
    <row r="34" spans="1:8">
      <c r="A34" s="48" t="s">
        <v>52</v>
      </c>
      <c r="B34" s="33" t="s">
        <v>73</v>
      </c>
      <c r="C34" s="33" t="s">
        <v>74</v>
      </c>
      <c r="D34" s="89">
        <v>106.952438</v>
      </c>
      <c r="E34" s="89">
        <v>22.448625</v>
      </c>
      <c r="F34" s="93">
        <v>95.68</v>
      </c>
      <c r="G34" s="94">
        <v>15.44</v>
      </c>
      <c r="H34" s="94">
        <v>65.06</v>
      </c>
    </row>
    <row r="35" spans="1:8">
      <c r="A35" s="48" t="s">
        <v>52</v>
      </c>
      <c r="B35" s="33" t="s">
        <v>75</v>
      </c>
      <c r="C35" s="33" t="s">
        <v>76</v>
      </c>
      <c r="D35" s="89">
        <v>106.952438</v>
      </c>
      <c r="E35" s="89">
        <v>22.448625</v>
      </c>
      <c r="F35" s="93">
        <v>96.42</v>
      </c>
      <c r="G35" s="94">
        <v>15.5</v>
      </c>
      <c r="H35" s="94">
        <v>66.73</v>
      </c>
    </row>
    <row r="36" spans="1:8">
      <c r="A36" s="48" t="s">
        <v>52</v>
      </c>
      <c r="B36" s="33" t="s">
        <v>77</v>
      </c>
      <c r="C36" s="33" t="s">
        <v>78</v>
      </c>
      <c r="D36" s="89">
        <v>106.952438</v>
      </c>
      <c r="E36" s="89">
        <v>22.448625</v>
      </c>
      <c r="F36" s="93">
        <v>91.98</v>
      </c>
      <c r="G36" s="94">
        <v>15.87</v>
      </c>
      <c r="H36" s="94">
        <v>65.9</v>
      </c>
    </row>
    <row r="37" spans="1:8">
      <c r="A37" s="48" t="s">
        <v>52</v>
      </c>
      <c r="B37" s="33" t="s">
        <v>79</v>
      </c>
      <c r="C37" s="33" t="s">
        <v>80</v>
      </c>
      <c r="D37" s="89">
        <v>106.9549942</v>
      </c>
      <c r="E37" s="89">
        <v>22.40642625</v>
      </c>
      <c r="F37" s="93">
        <v>46.32</v>
      </c>
      <c r="G37" s="94">
        <v>9.01</v>
      </c>
      <c r="H37" s="94">
        <v>60.49</v>
      </c>
    </row>
    <row r="38" spans="1:8">
      <c r="A38" s="48" t="s">
        <v>52</v>
      </c>
      <c r="B38" s="33" t="s">
        <v>81</v>
      </c>
      <c r="C38" s="33" t="s">
        <v>82</v>
      </c>
      <c r="D38" s="89">
        <v>106.9549942</v>
      </c>
      <c r="E38" s="89">
        <v>22.40642625</v>
      </c>
      <c r="F38" s="93">
        <v>80.18</v>
      </c>
      <c r="G38" s="94">
        <v>16.25</v>
      </c>
      <c r="H38" s="94">
        <v>67.34</v>
      </c>
    </row>
    <row r="39" spans="1:8">
      <c r="A39" s="48" t="s">
        <v>52</v>
      </c>
      <c r="B39" s="33" t="s">
        <v>83</v>
      </c>
      <c r="C39" s="33" t="s">
        <v>84</v>
      </c>
      <c r="D39" s="89">
        <v>106.9549942</v>
      </c>
      <c r="E39" s="89">
        <v>22.40642625</v>
      </c>
      <c r="F39" s="93">
        <v>82.01</v>
      </c>
      <c r="G39" s="94">
        <v>17.12</v>
      </c>
      <c r="H39" s="94">
        <v>66.39</v>
      </c>
    </row>
    <row r="40" spans="1:8">
      <c r="A40" s="48" t="s">
        <v>85</v>
      </c>
      <c r="B40" s="33" t="s">
        <v>86</v>
      </c>
      <c r="C40" s="33" t="s">
        <v>87</v>
      </c>
      <c r="D40" s="89">
        <v>106.740205</v>
      </c>
      <c r="E40" s="89">
        <v>22.122268</v>
      </c>
      <c r="F40" s="93">
        <v>93.95</v>
      </c>
      <c r="G40" s="94">
        <v>13.12</v>
      </c>
      <c r="H40" s="94">
        <v>82.37</v>
      </c>
    </row>
    <row r="41" spans="1:8">
      <c r="A41" s="48" t="s">
        <v>85</v>
      </c>
      <c r="B41" s="33" t="s">
        <v>88</v>
      </c>
      <c r="C41" s="33" t="s">
        <v>89</v>
      </c>
      <c r="D41" s="89">
        <v>106.740205</v>
      </c>
      <c r="E41" s="89">
        <v>22.122268</v>
      </c>
      <c r="F41" s="93">
        <v>95.53</v>
      </c>
      <c r="G41" s="94">
        <v>14.94</v>
      </c>
      <c r="H41" s="94">
        <v>81.53</v>
      </c>
    </row>
    <row r="42" spans="1:8">
      <c r="A42" s="48" t="s">
        <v>85</v>
      </c>
      <c r="B42" s="33" t="s">
        <v>90</v>
      </c>
      <c r="C42" s="33" t="s">
        <v>91</v>
      </c>
      <c r="D42" s="89">
        <v>106.740205</v>
      </c>
      <c r="E42" s="89">
        <v>22.122268</v>
      </c>
      <c r="F42" s="93">
        <v>94.49</v>
      </c>
      <c r="G42" s="94">
        <v>14.56</v>
      </c>
      <c r="H42" s="94">
        <v>82.54</v>
      </c>
    </row>
    <row r="43" spans="1:8">
      <c r="A43" s="48" t="s">
        <v>85</v>
      </c>
      <c r="B43" s="33" t="s">
        <v>92</v>
      </c>
      <c r="C43" s="33" t="s">
        <v>93</v>
      </c>
      <c r="D43" s="89">
        <v>106.739825</v>
      </c>
      <c r="E43" s="89">
        <v>22.122443</v>
      </c>
      <c r="F43" s="93">
        <v>95.37</v>
      </c>
      <c r="G43" s="94">
        <v>13.24</v>
      </c>
      <c r="H43" s="94">
        <v>80.79</v>
      </c>
    </row>
    <row r="44" s="85" customFormat="1" spans="1:8">
      <c r="A44" s="48" t="s">
        <v>85</v>
      </c>
      <c r="B44" s="33" t="s">
        <v>94</v>
      </c>
      <c r="C44" s="33" t="s">
        <v>95</v>
      </c>
      <c r="D44" s="89">
        <v>106.714875</v>
      </c>
      <c r="E44" s="89">
        <v>22.492058</v>
      </c>
      <c r="F44" s="93">
        <v>94.16</v>
      </c>
      <c r="G44" s="94">
        <v>14.56</v>
      </c>
      <c r="H44" s="94">
        <v>79.9</v>
      </c>
    </row>
    <row r="45" s="85" customFormat="1" spans="1:8">
      <c r="A45" s="48" t="s">
        <v>85</v>
      </c>
      <c r="B45" s="33" t="s">
        <v>96</v>
      </c>
      <c r="C45" s="33" t="s">
        <v>97</v>
      </c>
      <c r="D45" s="89">
        <v>106.714875</v>
      </c>
      <c r="E45" s="89">
        <v>22.492058</v>
      </c>
      <c r="F45" s="93">
        <v>97.62</v>
      </c>
      <c r="G45" s="94">
        <v>15.6</v>
      </c>
      <c r="H45" s="94">
        <v>80.03</v>
      </c>
    </row>
    <row r="46" s="85" customFormat="1" spans="1:8">
      <c r="A46" s="48" t="s">
        <v>85</v>
      </c>
      <c r="B46" s="33" t="s">
        <v>98</v>
      </c>
      <c r="C46" s="33" t="s">
        <v>99</v>
      </c>
      <c r="D46" s="89">
        <v>106.714875</v>
      </c>
      <c r="E46" s="89">
        <v>22.492058</v>
      </c>
      <c r="F46" s="93">
        <v>95.88</v>
      </c>
      <c r="G46" s="94">
        <v>17.65</v>
      </c>
      <c r="H46" s="94">
        <v>80.09</v>
      </c>
    </row>
    <row r="47" spans="1:8">
      <c r="A47" s="48" t="s">
        <v>85</v>
      </c>
      <c r="B47" s="33" t="s">
        <v>100</v>
      </c>
      <c r="C47" s="33" t="s">
        <v>101</v>
      </c>
      <c r="D47" s="89">
        <v>106.75107</v>
      </c>
      <c r="E47" s="89">
        <v>22.431209</v>
      </c>
      <c r="F47" s="93">
        <v>99.71</v>
      </c>
      <c r="G47" s="94">
        <v>15.31</v>
      </c>
      <c r="H47" s="94">
        <v>80.06</v>
      </c>
    </row>
    <row r="48" spans="1:8">
      <c r="A48" s="48" t="s">
        <v>85</v>
      </c>
      <c r="B48" s="33" t="s">
        <v>102</v>
      </c>
      <c r="C48" s="33" t="s">
        <v>103</v>
      </c>
      <c r="D48" s="89">
        <v>106.75107</v>
      </c>
      <c r="E48" s="89">
        <v>22.431209</v>
      </c>
      <c r="F48" s="93">
        <v>97.17</v>
      </c>
      <c r="G48" s="94">
        <v>14.6</v>
      </c>
      <c r="H48" s="94">
        <v>80.56</v>
      </c>
    </row>
    <row r="49" spans="1:8">
      <c r="A49" s="48" t="s">
        <v>85</v>
      </c>
      <c r="B49" s="33" t="s">
        <v>104</v>
      </c>
      <c r="C49" s="33" t="s">
        <v>105</v>
      </c>
      <c r="D49" s="89">
        <v>106.75107</v>
      </c>
      <c r="E49" s="89">
        <v>22.431209</v>
      </c>
      <c r="F49" s="93">
        <v>97.48</v>
      </c>
      <c r="G49" s="94">
        <v>18.92</v>
      </c>
      <c r="H49" s="94">
        <v>81.29</v>
      </c>
    </row>
    <row r="50" s="85" customFormat="1" spans="1:8">
      <c r="A50" s="48" t="s">
        <v>85</v>
      </c>
      <c r="B50" s="33" t="s">
        <v>106</v>
      </c>
      <c r="C50" s="33" t="s">
        <v>107</v>
      </c>
      <c r="D50" s="89">
        <v>106.716233</v>
      </c>
      <c r="E50" s="89">
        <v>22.451142</v>
      </c>
      <c r="F50" s="93">
        <v>96</v>
      </c>
      <c r="G50" s="94">
        <v>16.97</v>
      </c>
      <c r="H50" s="94">
        <v>80.69</v>
      </c>
    </row>
    <row r="51" s="85" customFormat="1" spans="1:8">
      <c r="A51" s="48" t="s">
        <v>85</v>
      </c>
      <c r="B51" s="33" t="s">
        <v>108</v>
      </c>
      <c r="C51" s="33" t="s">
        <v>109</v>
      </c>
      <c r="D51" s="89">
        <v>106.716233</v>
      </c>
      <c r="E51" s="89">
        <v>22.451142</v>
      </c>
      <c r="F51" s="93">
        <v>96.99</v>
      </c>
      <c r="G51" s="94">
        <v>19.16</v>
      </c>
      <c r="H51" s="94">
        <v>81.75</v>
      </c>
    </row>
    <row r="52" s="85" customFormat="1" spans="1:8">
      <c r="A52" s="48" t="s">
        <v>85</v>
      </c>
      <c r="B52" s="33" t="s">
        <v>110</v>
      </c>
      <c r="C52" s="33" t="s">
        <v>111</v>
      </c>
      <c r="D52" s="89">
        <v>106.716233</v>
      </c>
      <c r="E52" s="89">
        <v>22.451142</v>
      </c>
      <c r="F52" s="93">
        <v>92.77</v>
      </c>
      <c r="G52" s="94">
        <v>17.22</v>
      </c>
      <c r="H52" s="94">
        <v>81.13</v>
      </c>
    </row>
    <row r="53" spans="1:8">
      <c r="A53" s="48" t="s">
        <v>85</v>
      </c>
      <c r="B53" s="33" t="s">
        <v>112</v>
      </c>
      <c r="C53" s="33" t="s">
        <v>113</v>
      </c>
      <c r="D53" s="89">
        <v>106.7720032</v>
      </c>
      <c r="E53" s="89">
        <v>22.42570715</v>
      </c>
      <c r="F53" s="93">
        <v>84.24</v>
      </c>
      <c r="G53" s="94">
        <v>15.35</v>
      </c>
      <c r="H53" s="94">
        <v>79.51</v>
      </c>
    </row>
    <row r="54" spans="1:8">
      <c r="A54" s="48" t="s">
        <v>85</v>
      </c>
      <c r="B54" s="33" t="s">
        <v>114</v>
      </c>
      <c r="C54" s="33" t="s">
        <v>115</v>
      </c>
      <c r="D54" s="89">
        <v>106.7702132</v>
      </c>
      <c r="E54" s="89">
        <v>22.42570715</v>
      </c>
      <c r="F54" s="93">
        <v>77.81</v>
      </c>
      <c r="G54" s="94">
        <v>13.92</v>
      </c>
      <c r="H54" s="94">
        <v>79.62</v>
      </c>
    </row>
    <row r="55" spans="1:8">
      <c r="A55" s="48" t="s">
        <v>85</v>
      </c>
      <c r="B55" s="33" t="s">
        <v>116</v>
      </c>
      <c r="C55" s="33" t="s">
        <v>117</v>
      </c>
      <c r="D55" s="89">
        <v>106.7702132</v>
      </c>
      <c r="E55" s="89">
        <v>22.42570715</v>
      </c>
      <c r="F55" s="93">
        <v>80.37</v>
      </c>
      <c r="G55" s="94">
        <v>15.25</v>
      </c>
      <c r="H55" s="94">
        <v>79.67</v>
      </c>
    </row>
    <row r="56" spans="1:8">
      <c r="A56" s="48" t="s">
        <v>85</v>
      </c>
      <c r="B56" s="33" t="s">
        <v>118</v>
      </c>
      <c r="C56" s="33" t="s">
        <v>119</v>
      </c>
      <c r="D56" s="89">
        <v>106.7703509</v>
      </c>
      <c r="E56" s="89">
        <v>22.1263647</v>
      </c>
      <c r="F56" s="93">
        <v>89.99</v>
      </c>
      <c r="G56" s="94">
        <v>17.46</v>
      </c>
      <c r="H56" s="94">
        <v>81.63</v>
      </c>
    </row>
    <row r="57" spans="1:8">
      <c r="A57" s="48" t="s">
        <v>85</v>
      </c>
      <c r="B57" s="33" t="s">
        <v>120</v>
      </c>
      <c r="C57" s="33" t="s">
        <v>121</v>
      </c>
      <c r="D57" s="89">
        <v>106.7703509</v>
      </c>
      <c r="E57" s="89">
        <v>22.1263647</v>
      </c>
      <c r="F57" s="93">
        <v>74.77</v>
      </c>
      <c r="G57" s="94">
        <v>16.14</v>
      </c>
      <c r="H57" s="94">
        <v>78.67</v>
      </c>
    </row>
    <row r="58" spans="1:8">
      <c r="A58" s="48" t="s">
        <v>85</v>
      </c>
      <c r="B58" s="33" t="s">
        <v>122</v>
      </c>
      <c r="C58" s="33" t="s">
        <v>123</v>
      </c>
      <c r="D58" s="89">
        <v>106.7703509</v>
      </c>
      <c r="E58" s="89">
        <v>22.1263647</v>
      </c>
      <c r="F58" s="93">
        <v>56.29</v>
      </c>
      <c r="G58" s="94">
        <v>9.8</v>
      </c>
      <c r="H58" s="94">
        <v>78.45</v>
      </c>
    </row>
    <row r="59" s="85" customFormat="1" spans="1:8">
      <c r="A59" s="48" t="s">
        <v>85</v>
      </c>
      <c r="B59" s="33" t="s">
        <v>124</v>
      </c>
      <c r="C59" s="33" t="s">
        <v>125</v>
      </c>
      <c r="D59" s="89">
        <v>106.7162991</v>
      </c>
      <c r="E59" s="89">
        <v>22.46695768</v>
      </c>
      <c r="F59" s="93">
        <v>49.33</v>
      </c>
      <c r="G59" s="94">
        <v>8.94</v>
      </c>
      <c r="H59" s="94">
        <v>76.72</v>
      </c>
    </row>
    <row r="60" s="85" customFormat="1" spans="1:8">
      <c r="A60" s="48" t="s">
        <v>85</v>
      </c>
      <c r="B60" s="33" t="s">
        <v>126</v>
      </c>
      <c r="C60" s="33" t="s">
        <v>127</v>
      </c>
      <c r="D60" s="89">
        <v>106.7162991</v>
      </c>
      <c r="E60" s="89">
        <v>22.46695768</v>
      </c>
      <c r="F60" s="93">
        <v>77.05</v>
      </c>
      <c r="G60" s="94">
        <v>14.52</v>
      </c>
      <c r="H60" s="94">
        <v>79.31</v>
      </c>
    </row>
    <row r="61" s="85" customFormat="1" spans="1:8">
      <c r="A61" s="48" t="s">
        <v>85</v>
      </c>
      <c r="B61" s="33" t="s">
        <v>128</v>
      </c>
      <c r="C61" s="33" t="s">
        <v>129</v>
      </c>
      <c r="D61" s="89">
        <v>106.7162991</v>
      </c>
      <c r="E61" s="89">
        <v>22.46695768</v>
      </c>
      <c r="F61" s="93">
        <v>32.63</v>
      </c>
      <c r="G61" s="94">
        <v>5.37</v>
      </c>
      <c r="H61" s="94">
        <v>69.1</v>
      </c>
    </row>
    <row r="62" spans="1:8">
      <c r="A62" s="48" t="s">
        <v>130</v>
      </c>
      <c r="B62" s="33" t="s">
        <v>131</v>
      </c>
      <c r="C62" s="33" t="s">
        <v>132</v>
      </c>
      <c r="D62" s="89">
        <v>106.6334295</v>
      </c>
      <c r="E62" s="89">
        <v>22.42394183</v>
      </c>
      <c r="F62" s="95">
        <v>88.44</v>
      </c>
      <c r="G62" s="96">
        <v>19.0784</v>
      </c>
      <c r="H62" s="94">
        <v>64.43</v>
      </c>
    </row>
    <row r="63" spans="1:10">
      <c r="A63" s="48" t="s">
        <v>130</v>
      </c>
      <c r="B63" s="33" t="s">
        <v>133</v>
      </c>
      <c r="C63" s="33" t="s">
        <v>134</v>
      </c>
      <c r="D63" s="89">
        <v>106.6334295</v>
      </c>
      <c r="E63" s="89">
        <v>22.42394183</v>
      </c>
      <c r="F63" s="95">
        <v>65.48</v>
      </c>
      <c r="G63" s="96">
        <v>15.6624</v>
      </c>
      <c r="H63" s="97">
        <v>61.4072</v>
      </c>
      <c r="I63" s="94"/>
      <c r="J63" s="87"/>
    </row>
    <row r="64" spans="1:10">
      <c r="A64" s="48" t="s">
        <v>130</v>
      </c>
      <c r="B64" s="33" t="s">
        <v>135</v>
      </c>
      <c r="C64" s="33" t="s">
        <v>136</v>
      </c>
      <c r="D64" s="89">
        <v>106.6334295</v>
      </c>
      <c r="E64" s="89">
        <v>22.42394183</v>
      </c>
      <c r="F64" s="95">
        <v>80.85</v>
      </c>
      <c r="G64" s="96">
        <v>17.154</v>
      </c>
      <c r="H64" s="97">
        <v>63.8212</v>
      </c>
      <c r="I64" s="94"/>
      <c r="J64" s="87"/>
    </row>
    <row r="65" spans="1:10">
      <c r="A65" s="48" t="s">
        <v>130</v>
      </c>
      <c r="B65" s="33" t="s">
        <v>137</v>
      </c>
      <c r="C65" s="33" t="s">
        <v>138</v>
      </c>
      <c r="D65" s="89">
        <v>106.6223145</v>
      </c>
      <c r="E65" s="89">
        <v>22.42340628</v>
      </c>
      <c r="F65" s="95">
        <v>56.88</v>
      </c>
      <c r="G65" s="96">
        <v>12.2646</v>
      </c>
      <c r="H65" s="97">
        <v>59.4237</v>
      </c>
      <c r="I65" s="94"/>
      <c r="J65" s="87"/>
    </row>
    <row r="66" spans="1:10">
      <c r="A66" s="48" t="s">
        <v>130</v>
      </c>
      <c r="B66" s="33" t="s">
        <v>139</v>
      </c>
      <c r="C66" s="33" t="s">
        <v>140</v>
      </c>
      <c r="D66" s="89">
        <v>106.6223145</v>
      </c>
      <c r="E66" s="89">
        <v>22.42340628</v>
      </c>
      <c r="F66" s="95">
        <v>75.89</v>
      </c>
      <c r="G66" s="96">
        <v>15.5147</v>
      </c>
      <c r="H66" s="97">
        <v>61.8295</v>
      </c>
      <c r="I66" s="94"/>
      <c r="J66" s="87"/>
    </row>
    <row r="67" spans="1:10">
      <c r="A67" s="48" t="s">
        <v>130</v>
      </c>
      <c r="B67" s="33" t="s">
        <v>141</v>
      </c>
      <c r="C67" s="33" t="s">
        <v>142</v>
      </c>
      <c r="D67" s="89">
        <v>106.6223145</v>
      </c>
      <c r="E67" s="89">
        <v>22.42340628</v>
      </c>
      <c r="F67" s="95">
        <v>79.72</v>
      </c>
      <c r="G67" s="96">
        <v>18.6324</v>
      </c>
      <c r="H67" s="97">
        <v>64.6033</v>
      </c>
      <c r="I67" s="94"/>
      <c r="J67" s="87"/>
    </row>
    <row r="68" spans="1:10">
      <c r="A68" s="48" t="s">
        <v>130</v>
      </c>
      <c r="B68" s="33" t="s">
        <v>143</v>
      </c>
      <c r="C68" s="33" t="s">
        <v>144</v>
      </c>
      <c r="D68" s="89">
        <v>106.6268635</v>
      </c>
      <c r="E68" s="89">
        <v>22.41521407</v>
      </c>
      <c r="F68" s="95">
        <v>45.98</v>
      </c>
      <c r="G68" s="96">
        <v>10.1567</v>
      </c>
      <c r="H68" s="97">
        <v>57.3686</v>
      </c>
      <c r="I68" s="94"/>
      <c r="J68" s="87"/>
    </row>
    <row r="69" spans="1:10">
      <c r="A69" s="48" t="s">
        <v>130</v>
      </c>
      <c r="B69" s="33" t="s">
        <v>145</v>
      </c>
      <c r="C69" s="33" t="s">
        <v>146</v>
      </c>
      <c r="D69" s="89">
        <v>106.6268635</v>
      </c>
      <c r="E69" s="89">
        <v>22.41521407</v>
      </c>
      <c r="F69" s="95">
        <v>62.33</v>
      </c>
      <c r="G69" s="96">
        <v>12.9047</v>
      </c>
      <c r="H69" s="97">
        <v>59.9656</v>
      </c>
      <c r="I69" s="94"/>
      <c r="J69" s="87"/>
    </row>
    <row r="70" spans="1:10">
      <c r="A70" s="48" t="s">
        <v>130</v>
      </c>
      <c r="B70" s="33" t="s">
        <v>147</v>
      </c>
      <c r="C70" s="33" t="s">
        <v>148</v>
      </c>
      <c r="D70" s="89">
        <v>106.6268635</v>
      </c>
      <c r="E70" s="89">
        <v>22.41521407</v>
      </c>
      <c r="F70" s="95">
        <v>72.62</v>
      </c>
      <c r="G70" s="96">
        <v>16.0084</v>
      </c>
      <c r="H70" s="97">
        <v>62.4024</v>
      </c>
      <c r="I70" s="94"/>
      <c r="J70" s="87"/>
    </row>
    <row r="71" ht="16.9" customHeight="1" spans="1:8">
      <c r="A71" s="48" t="s">
        <v>149</v>
      </c>
      <c r="B71" s="33" t="s">
        <v>150</v>
      </c>
      <c r="C71" s="33" t="s">
        <v>151</v>
      </c>
      <c r="D71" s="89" t="s">
        <v>152</v>
      </c>
      <c r="E71" s="89"/>
      <c r="F71" s="93">
        <v>94.63</v>
      </c>
      <c r="G71" s="94">
        <v>18.34</v>
      </c>
      <c r="H71" s="94">
        <v>58.65</v>
      </c>
    </row>
    <row r="72" ht="16.9" customHeight="1" spans="1:8">
      <c r="A72" s="48" t="s">
        <v>149</v>
      </c>
      <c r="B72" s="33" t="s">
        <v>153</v>
      </c>
      <c r="C72" s="33" t="s">
        <v>154</v>
      </c>
      <c r="D72" s="89" t="s">
        <v>152</v>
      </c>
      <c r="E72" s="89"/>
      <c r="F72" s="93">
        <v>94.2</v>
      </c>
      <c r="G72" s="94">
        <v>18.12</v>
      </c>
      <c r="H72" s="94">
        <v>56.76</v>
      </c>
    </row>
    <row r="73" ht="18.4" customHeight="1" spans="1:8">
      <c r="A73" s="32" t="s">
        <v>149</v>
      </c>
      <c r="B73" s="34" t="s">
        <v>155</v>
      </c>
      <c r="C73" s="34" t="s">
        <v>156</v>
      </c>
      <c r="D73" s="98" t="s">
        <v>152</v>
      </c>
      <c r="E73" s="98"/>
      <c r="F73" s="95">
        <v>91.38</v>
      </c>
      <c r="G73" s="96">
        <v>17.71</v>
      </c>
      <c r="H73" s="96">
        <v>57.69</v>
      </c>
    </row>
    <row r="74" spans="1:8">
      <c r="A74" s="31" t="s">
        <v>157</v>
      </c>
      <c r="B74" s="31"/>
      <c r="C74" s="31"/>
      <c r="D74" s="31"/>
      <c r="E74" s="31"/>
      <c r="F74" s="99">
        <f>AVERAGE(F3:F73)</f>
        <v>86.8905633802817</v>
      </c>
      <c r="G74" s="100">
        <f>AVERAGE(G3:G73)</f>
        <v>15.8983985915493</v>
      </c>
      <c r="H74" s="100">
        <f>AVERAGE(H3:H73)</f>
        <v>68.9381901408451</v>
      </c>
    </row>
  </sheetData>
  <mergeCells count="5">
    <mergeCell ref="A1:H1"/>
    <mergeCell ref="D71:E71"/>
    <mergeCell ref="D72:E72"/>
    <mergeCell ref="D73:E73"/>
    <mergeCell ref="B74:E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1"/>
    </sheetView>
  </sheetViews>
  <sheetFormatPr defaultColWidth="9.25" defaultRowHeight="17.6" outlineLevelRow="5" outlineLevelCol="2"/>
  <cols>
    <col min="1" max="3" width="45.375" style="4" customWidth="1"/>
    <col min="4" max="16384" width="9.25" style="4"/>
  </cols>
  <sheetData>
    <row r="1" ht="18" spans="1:3">
      <c r="A1" s="44" t="s">
        <v>158</v>
      </c>
      <c r="B1" s="5"/>
      <c r="C1" s="5"/>
    </row>
    <row r="2" spans="1:3">
      <c r="A2" s="52" t="s">
        <v>1</v>
      </c>
      <c r="B2" s="52" t="s">
        <v>159</v>
      </c>
      <c r="C2" s="52" t="s">
        <v>160</v>
      </c>
    </row>
    <row r="3" spans="1:3">
      <c r="A3" s="83" t="s">
        <v>9</v>
      </c>
      <c r="B3" s="58" t="s">
        <v>161</v>
      </c>
      <c r="C3" s="58" t="s">
        <v>162</v>
      </c>
    </row>
    <row r="4" spans="1:3">
      <c r="A4" s="83" t="s">
        <v>163</v>
      </c>
      <c r="B4" s="58" t="s">
        <v>164</v>
      </c>
      <c r="C4" s="58" t="s">
        <v>165</v>
      </c>
    </row>
    <row r="5" spans="1:3">
      <c r="A5" s="83" t="s">
        <v>85</v>
      </c>
      <c r="B5" s="58" t="s">
        <v>166</v>
      </c>
      <c r="C5" s="58" t="s">
        <v>167</v>
      </c>
    </row>
    <row r="6" spans="1:3">
      <c r="A6" s="84" t="s">
        <v>149</v>
      </c>
      <c r="B6" s="60" t="s">
        <v>168</v>
      </c>
      <c r="C6" s="60" t="s">
        <v>169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zoomScale="57" zoomScaleNormal="57" workbookViewId="0">
      <selection activeCell="A1" sqref="A1:F1"/>
    </sheetView>
  </sheetViews>
  <sheetFormatPr defaultColWidth="9.23076923076923" defaultRowHeight="16.8" outlineLevelCol="5"/>
  <cols>
    <col min="1" max="3" width="23.9423076923077" style="72" customWidth="1"/>
    <col min="4" max="4" width="23.9423076923077" style="73" customWidth="1"/>
    <col min="5" max="5" width="23.9423076923077" style="74" customWidth="1"/>
    <col min="6" max="6" width="23.9423076923077" style="73" customWidth="1"/>
  </cols>
  <sheetData>
    <row r="1" ht="20" customHeight="1" spans="1:6">
      <c r="A1" s="75" t="s">
        <v>170</v>
      </c>
      <c r="B1" s="76"/>
      <c r="C1" s="76"/>
      <c r="D1" s="76"/>
      <c r="E1" s="81"/>
      <c r="F1" s="76"/>
    </row>
    <row r="2" ht="20" spans="1:6">
      <c r="A2" s="77" t="s">
        <v>1</v>
      </c>
      <c r="B2" s="77" t="s">
        <v>171</v>
      </c>
      <c r="C2" s="77" t="s">
        <v>172</v>
      </c>
      <c r="D2" s="77" t="s">
        <v>173</v>
      </c>
      <c r="E2" s="82" t="s">
        <v>174</v>
      </c>
      <c r="F2" s="77" t="s">
        <v>175</v>
      </c>
    </row>
    <row r="3" ht="17.6" spans="1:6">
      <c r="A3" s="78" t="s">
        <v>85</v>
      </c>
      <c r="B3" s="11" t="s">
        <v>176</v>
      </c>
      <c r="C3" s="11" t="s">
        <v>177</v>
      </c>
      <c r="D3" s="12">
        <v>0.135084</v>
      </c>
      <c r="E3" s="12">
        <v>0.143700522222222</v>
      </c>
      <c r="F3" s="12">
        <v>0.00126349</v>
      </c>
    </row>
    <row r="4" ht="17.6" spans="1:6">
      <c r="A4" s="78"/>
      <c r="B4" s="11" t="s">
        <v>176</v>
      </c>
      <c r="C4" s="11" t="s">
        <v>178</v>
      </c>
      <c r="D4" s="12">
        <v>0.170984</v>
      </c>
      <c r="E4" s="12"/>
      <c r="F4" s="12">
        <v>0.00166534</v>
      </c>
    </row>
    <row r="5" ht="17.6" spans="1:6">
      <c r="A5" s="78"/>
      <c r="B5" s="11" t="s">
        <v>176</v>
      </c>
      <c r="C5" s="11" t="s">
        <v>179</v>
      </c>
      <c r="D5" s="12">
        <v>0.0952295</v>
      </c>
      <c r="E5" s="12"/>
      <c r="F5" s="12">
        <v>0.00155642</v>
      </c>
    </row>
    <row r="6" ht="17.6" spans="1:6">
      <c r="A6" s="78"/>
      <c r="B6" s="11" t="s">
        <v>177</v>
      </c>
      <c r="C6" s="11" t="s">
        <v>178</v>
      </c>
      <c r="D6" s="12">
        <v>0.121619</v>
      </c>
      <c r="E6" s="12"/>
      <c r="F6" s="12">
        <v>0.00125162</v>
      </c>
    </row>
    <row r="7" ht="17.6" spans="1:6">
      <c r="A7" s="78"/>
      <c r="B7" s="11" t="s">
        <v>177</v>
      </c>
      <c r="C7" s="11" t="s">
        <v>179</v>
      </c>
      <c r="D7" s="12">
        <v>0.149093</v>
      </c>
      <c r="E7" s="12"/>
      <c r="F7" s="12">
        <v>0.00121437</v>
      </c>
    </row>
    <row r="8" ht="17.6" spans="1:6">
      <c r="A8" s="78"/>
      <c r="B8" s="11" t="s">
        <v>177</v>
      </c>
      <c r="C8" s="11" t="s">
        <v>180</v>
      </c>
      <c r="D8" s="12">
        <v>0.0631159</v>
      </c>
      <c r="E8" s="12"/>
      <c r="F8" s="12">
        <v>0.00115368</v>
      </c>
    </row>
    <row r="9" ht="17.6" spans="1:6">
      <c r="A9" s="78"/>
      <c r="B9" s="11" t="s">
        <v>177</v>
      </c>
      <c r="C9" s="11" t="s">
        <v>181</v>
      </c>
      <c r="D9" s="12">
        <v>0.120334</v>
      </c>
      <c r="E9" s="12"/>
      <c r="F9" s="12">
        <v>0.00127692</v>
      </c>
    </row>
    <row r="10" ht="17.6" spans="1:6">
      <c r="A10" s="78"/>
      <c r="B10" s="11" t="s">
        <v>177</v>
      </c>
      <c r="C10" s="11" t="s">
        <v>182</v>
      </c>
      <c r="D10" s="12">
        <v>0.13376</v>
      </c>
      <c r="E10" s="12"/>
      <c r="F10" s="12">
        <v>0.00118354</v>
      </c>
    </row>
    <row r="11" ht="17.6" spans="1:6">
      <c r="A11" s="78"/>
      <c r="B11" s="11" t="s">
        <v>178</v>
      </c>
      <c r="C11" s="11" t="s">
        <v>179</v>
      </c>
      <c r="D11" s="12">
        <v>0.180943</v>
      </c>
      <c r="E11" s="12"/>
      <c r="F11" s="12">
        <v>0.00154117</v>
      </c>
    </row>
    <row r="12" ht="17.6" spans="1:6">
      <c r="A12" s="78"/>
      <c r="B12" s="11" t="s">
        <v>178</v>
      </c>
      <c r="C12" s="11" t="s">
        <v>180</v>
      </c>
      <c r="D12" s="12">
        <v>0.147928</v>
      </c>
      <c r="E12" s="12"/>
      <c r="F12" s="12">
        <v>0.00144793</v>
      </c>
    </row>
    <row r="13" ht="17.6" spans="1:6">
      <c r="A13" s="78"/>
      <c r="B13" s="11" t="s">
        <v>178</v>
      </c>
      <c r="C13" s="11" t="s">
        <v>181</v>
      </c>
      <c r="D13" s="12">
        <v>0.115189</v>
      </c>
      <c r="E13" s="12"/>
      <c r="F13" s="12">
        <v>0.00150248</v>
      </c>
    </row>
    <row r="14" ht="17.6" spans="1:6">
      <c r="A14" s="78"/>
      <c r="B14" s="11" t="s">
        <v>178</v>
      </c>
      <c r="C14" s="11" t="s">
        <v>182</v>
      </c>
      <c r="D14" s="12">
        <v>0.145598</v>
      </c>
      <c r="E14" s="12"/>
      <c r="F14" s="12">
        <v>0.00162309</v>
      </c>
    </row>
    <row r="15" ht="17.6" spans="1:6">
      <c r="A15" s="78"/>
      <c r="B15" s="11" t="s">
        <v>179</v>
      </c>
      <c r="C15" s="11" t="s">
        <v>180</v>
      </c>
      <c r="D15" s="12">
        <v>0.17907</v>
      </c>
      <c r="E15" s="12"/>
      <c r="F15" s="12">
        <v>0.00130745</v>
      </c>
    </row>
    <row r="16" ht="17.6" spans="1:6">
      <c r="A16" s="78"/>
      <c r="B16" s="11" t="s">
        <v>179</v>
      </c>
      <c r="C16" s="11" t="s">
        <v>181</v>
      </c>
      <c r="D16" s="12">
        <v>0.202447</v>
      </c>
      <c r="E16" s="12"/>
      <c r="F16" s="12">
        <v>0.00147522</v>
      </c>
    </row>
    <row r="17" ht="17.6" spans="1:6">
      <c r="A17" s="78"/>
      <c r="B17" s="11" t="s">
        <v>179</v>
      </c>
      <c r="C17" s="11" t="s">
        <v>182</v>
      </c>
      <c r="D17" s="12">
        <v>0.161536</v>
      </c>
      <c r="E17" s="12"/>
      <c r="F17" s="12">
        <v>0.00138234</v>
      </c>
    </row>
    <row r="18" ht="17.6" spans="1:6">
      <c r="A18" s="78"/>
      <c r="B18" s="11" t="s">
        <v>180</v>
      </c>
      <c r="C18" s="11" t="s">
        <v>181</v>
      </c>
      <c r="D18" s="12">
        <v>0.144661</v>
      </c>
      <c r="E18" s="12"/>
      <c r="F18" s="12">
        <v>0.00131498</v>
      </c>
    </row>
    <row r="19" ht="17.6" spans="1:6">
      <c r="A19" s="78"/>
      <c r="B19" s="11" t="s">
        <v>180</v>
      </c>
      <c r="C19" s="11" t="s">
        <v>182</v>
      </c>
      <c r="D19" s="12">
        <v>0.162232</v>
      </c>
      <c r="E19" s="12"/>
      <c r="F19" s="12">
        <v>0.00129986</v>
      </c>
    </row>
    <row r="20" ht="17.6" spans="1:6">
      <c r="A20" s="79"/>
      <c r="B20" s="14" t="s">
        <v>181</v>
      </c>
      <c r="C20" s="14" t="s">
        <v>182</v>
      </c>
      <c r="D20" s="80">
        <v>0.157786</v>
      </c>
      <c r="E20" s="80"/>
      <c r="F20" s="15">
        <v>0.00147101</v>
      </c>
    </row>
    <row r="21" ht="17.6" spans="1:6">
      <c r="A21" s="78" t="s">
        <v>9</v>
      </c>
      <c r="B21" s="11" t="s">
        <v>183</v>
      </c>
      <c r="C21" s="11" t="s">
        <v>184</v>
      </c>
      <c r="D21" s="12">
        <v>0.177483</v>
      </c>
      <c r="E21" s="12">
        <v>0.0945619095238095</v>
      </c>
      <c r="F21" s="12">
        <v>0.00120251</v>
      </c>
    </row>
    <row r="22" ht="17.6" spans="1:6">
      <c r="A22" s="78"/>
      <c r="B22" s="11" t="s">
        <v>183</v>
      </c>
      <c r="C22" s="11" t="s">
        <v>185</v>
      </c>
      <c r="D22" s="12">
        <v>0.092563</v>
      </c>
      <c r="E22" s="12"/>
      <c r="F22" s="12">
        <v>0.0011587</v>
      </c>
    </row>
    <row r="23" ht="17.6" spans="1:6">
      <c r="A23" s="78"/>
      <c r="B23" s="11" t="s">
        <v>183</v>
      </c>
      <c r="C23" s="11" t="s">
        <v>186</v>
      </c>
      <c r="D23" s="12">
        <v>0.0489194</v>
      </c>
      <c r="E23" s="12"/>
      <c r="F23" s="12">
        <v>0.000914249</v>
      </c>
    </row>
    <row r="24" ht="17.6" spans="1:6">
      <c r="A24" s="78"/>
      <c r="B24" s="11" t="s">
        <v>183</v>
      </c>
      <c r="C24" s="11" t="s">
        <v>187</v>
      </c>
      <c r="D24" s="12">
        <v>0.0618705</v>
      </c>
      <c r="E24" s="12"/>
      <c r="F24" s="12">
        <v>0.000962368</v>
      </c>
    </row>
    <row r="25" ht="17.6" spans="1:6">
      <c r="A25" s="78"/>
      <c r="B25" s="11" t="s">
        <v>183</v>
      </c>
      <c r="C25" s="11" t="s">
        <v>188</v>
      </c>
      <c r="D25" s="12">
        <v>0.0487382</v>
      </c>
      <c r="E25" s="12"/>
      <c r="F25" s="12">
        <v>0.00088412</v>
      </c>
    </row>
    <row r="26" ht="17.6" spans="1:6">
      <c r="A26" s="78"/>
      <c r="B26" s="11" t="s">
        <v>183</v>
      </c>
      <c r="C26" s="11" t="s">
        <v>189</v>
      </c>
      <c r="D26" s="12">
        <v>0.0947641</v>
      </c>
      <c r="E26" s="12"/>
      <c r="F26" s="12">
        <v>0.00118439</v>
      </c>
    </row>
    <row r="27" ht="17.6" spans="1:6">
      <c r="A27" s="78"/>
      <c r="B27" s="11" t="s">
        <v>184</v>
      </c>
      <c r="C27" s="11" t="s">
        <v>185</v>
      </c>
      <c r="D27" s="12">
        <v>0.17476</v>
      </c>
      <c r="E27" s="12"/>
      <c r="F27" s="12">
        <v>0.00131721</v>
      </c>
    </row>
    <row r="28" ht="17.6" spans="1:6">
      <c r="A28" s="78"/>
      <c r="B28" s="11" t="s">
        <v>184</v>
      </c>
      <c r="C28" s="11" t="s">
        <v>186</v>
      </c>
      <c r="D28" s="12">
        <v>0.159358</v>
      </c>
      <c r="E28" s="12"/>
      <c r="F28" s="12">
        <v>0.00123223</v>
      </c>
    </row>
    <row r="29" ht="17.6" spans="1:6">
      <c r="A29" s="78"/>
      <c r="B29" s="11" t="s">
        <v>184</v>
      </c>
      <c r="C29" s="11" t="s">
        <v>187</v>
      </c>
      <c r="D29" s="12">
        <v>0.148982</v>
      </c>
      <c r="E29" s="12"/>
      <c r="F29" s="12">
        <v>0.00117947</v>
      </c>
    </row>
    <row r="30" ht="17.6" spans="1:6">
      <c r="A30" s="78"/>
      <c r="B30" s="11" t="s">
        <v>184</v>
      </c>
      <c r="C30" s="11" t="s">
        <v>188</v>
      </c>
      <c r="D30" s="12">
        <v>0.168642</v>
      </c>
      <c r="E30" s="12"/>
      <c r="F30" s="12">
        <v>0.00119265</v>
      </c>
    </row>
    <row r="31" ht="17.6" spans="1:6">
      <c r="A31" s="78"/>
      <c r="B31" s="11" t="s">
        <v>184</v>
      </c>
      <c r="C31" s="11" t="s">
        <v>189</v>
      </c>
      <c r="D31" s="12">
        <v>0.188615</v>
      </c>
      <c r="E31" s="12"/>
      <c r="F31" s="12">
        <v>0.00136405</v>
      </c>
    </row>
    <row r="32" ht="17.6" spans="1:6">
      <c r="A32" s="78"/>
      <c r="B32" s="11" t="s">
        <v>185</v>
      </c>
      <c r="C32" s="11" t="s">
        <v>186</v>
      </c>
      <c r="D32" s="12">
        <v>0.0623186</v>
      </c>
      <c r="E32" s="12"/>
      <c r="F32" s="12">
        <v>0.00106393</v>
      </c>
    </row>
    <row r="33" ht="17.6" spans="1:6">
      <c r="A33" s="78"/>
      <c r="B33" s="11" t="s">
        <v>185</v>
      </c>
      <c r="C33" s="11" t="s">
        <v>187</v>
      </c>
      <c r="D33" s="12">
        <v>0.0563332</v>
      </c>
      <c r="E33" s="12"/>
      <c r="F33" s="12">
        <v>0.00103987</v>
      </c>
    </row>
    <row r="34" ht="17.6" spans="1:6">
      <c r="A34" s="78"/>
      <c r="B34" s="11" t="s">
        <v>185</v>
      </c>
      <c r="C34" s="11" t="s">
        <v>188</v>
      </c>
      <c r="D34" s="12">
        <v>0.0778527</v>
      </c>
      <c r="E34" s="12"/>
      <c r="F34" s="12">
        <v>0.00109559</v>
      </c>
    </row>
    <row r="35" ht="17.6" spans="1:6">
      <c r="A35" s="78"/>
      <c r="B35" s="11" t="s">
        <v>185</v>
      </c>
      <c r="C35" s="11" t="s">
        <v>189</v>
      </c>
      <c r="D35" s="12">
        <v>0.0921836</v>
      </c>
      <c r="E35" s="12"/>
      <c r="F35" s="12">
        <v>0.00128971</v>
      </c>
    </row>
    <row r="36" ht="17.6" spans="1:6">
      <c r="A36" s="78"/>
      <c r="B36" s="11" t="s">
        <v>186</v>
      </c>
      <c r="C36" s="11" t="s">
        <v>187</v>
      </c>
      <c r="D36" s="12">
        <v>0.0283595</v>
      </c>
      <c r="E36" s="12"/>
      <c r="F36" s="12">
        <v>0.000820618</v>
      </c>
    </row>
    <row r="37" ht="17.6" spans="1:6">
      <c r="A37" s="78"/>
      <c r="B37" s="11" t="s">
        <v>186</v>
      </c>
      <c r="C37" s="11" t="s">
        <v>188</v>
      </c>
      <c r="D37" s="12">
        <v>0.0252592</v>
      </c>
      <c r="E37" s="12"/>
      <c r="F37" s="12">
        <v>0.00080378</v>
      </c>
    </row>
    <row r="38" ht="17.6" spans="1:6">
      <c r="A38" s="78"/>
      <c r="B38" s="11" t="s">
        <v>186</v>
      </c>
      <c r="C38" s="11" t="s">
        <v>189</v>
      </c>
      <c r="D38" s="12">
        <v>0.0712481</v>
      </c>
      <c r="E38" s="12"/>
      <c r="F38" s="12">
        <v>0.00105521</v>
      </c>
    </row>
    <row r="39" ht="17.6" spans="1:6">
      <c r="A39" s="78"/>
      <c r="B39" s="11" t="s">
        <v>187</v>
      </c>
      <c r="C39" s="11" t="s">
        <v>188</v>
      </c>
      <c r="D39" s="12">
        <v>0.045478</v>
      </c>
      <c r="E39" s="12"/>
      <c r="F39" s="12">
        <v>0.000876698</v>
      </c>
    </row>
    <row r="40" ht="17.6" spans="1:6">
      <c r="A40" s="78"/>
      <c r="B40" s="11" t="s">
        <v>187</v>
      </c>
      <c r="C40" s="11" t="s">
        <v>189</v>
      </c>
      <c r="D40" s="12">
        <v>0.0792839</v>
      </c>
      <c r="E40" s="12"/>
      <c r="F40" s="12">
        <v>0.0010905</v>
      </c>
    </row>
    <row r="41" ht="17.6" spans="1:6">
      <c r="A41" s="79"/>
      <c r="B41" s="14" t="s">
        <v>188</v>
      </c>
      <c r="C41" s="14" t="s">
        <v>189</v>
      </c>
      <c r="D41" s="80">
        <v>0.0827881</v>
      </c>
      <c r="E41" s="80"/>
      <c r="F41" s="15">
        <v>0.00111398</v>
      </c>
    </row>
    <row r="42" ht="17.6" spans="1:6">
      <c r="A42" s="78" t="s">
        <v>52</v>
      </c>
      <c r="B42" s="11" t="s">
        <v>190</v>
      </c>
      <c r="C42" s="11" t="s">
        <v>191</v>
      </c>
      <c r="D42" s="12">
        <v>0.0612301</v>
      </c>
      <c r="E42" s="12">
        <v>0.0826536</v>
      </c>
      <c r="F42" s="12">
        <v>0.00112684</v>
      </c>
    </row>
    <row r="43" ht="17.6" spans="1:6">
      <c r="A43" s="78"/>
      <c r="B43" s="11" t="s">
        <v>190</v>
      </c>
      <c r="C43" s="11" t="s">
        <v>192</v>
      </c>
      <c r="D43" s="12">
        <v>0.0330888</v>
      </c>
      <c r="E43" s="12"/>
      <c r="F43" s="12">
        <v>0.000949405</v>
      </c>
    </row>
    <row r="44" ht="17.6" spans="1:6">
      <c r="A44" s="78"/>
      <c r="B44" s="11" t="s">
        <v>190</v>
      </c>
      <c r="C44" s="11" t="s">
        <v>193</v>
      </c>
      <c r="D44" s="12">
        <v>0.103312</v>
      </c>
      <c r="E44" s="12"/>
      <c r="F44" s="12">
        <v>0.00126281</v>
      </c>
    </row>
    <row r="45" ht="17.6" spans="1:6">
      <c r="A45" s="78"/>
      <c r="B45" s="11" t="s">
        <v>190</v>
      </c>
      <c r="C45" s="11" t="s">
        <v>194</v>
      </c>
      <c r="D45" s="12">
        <v>0.115324</v>
      </c>
      <c r="E45" s="12"/>
      <c r="F45" s="12">
        <v>0.00132324</v>
      </c>
    </row>
    <row r="46" ht="17.6" spans="1:6">
      <c r="A46" s="78"/>
      <c r="B46" s="11" t="s">
        <v>191</v>
      </c>
      <c r="C46" s="11" t="s">
        <v>192</v>
      </c>
      <c r="D46" s="12">
        <v>0.0389998</v>
      </c>
      <c r="E46" s="12"/>
      <c r="F46" s="12">
        <v>0.000924546</v>
      </c>
    </row>
    <row r="47" ht="17.6" spans="1:6">
      <c r="A47" s="78"/>
      <c r="B47" s="11" t="s">
        <v>191</v>
      </c>
      <c r="C47" s="11" t="s">
        <v>193</v>
      </c>
      <c r="D47" s="12">
        <v>0.0998522</v>
      </c>
      <c r="E47" s="12"/>
      <c r="F47" s="12">
        <v>0.00121468</v>
      </c>
    </row>
    <row r="48" ht="17.6" spans="1:6">
      <c r="A48" s="78"/>
      <c r="B48" s="11" t="s">
        <v>191</v>
      </c>
      <c r="C48" s="11" t="s">
        <v>194</v>
      </c>
      <c r="D48" s="12">
        <v>0.109059</v>
      </c>
      <c r="E48" s="12"/>
      <c r="F48" s="12">
        <v>0.00130634</v>
      </c>
    </row>
    <row r="49" ht="17.6" spans="1:6">
      <c r="A49" s="78"/>
      <c r="B49" s="11" t="s">
        <v>192</v>
      </c>
      <c r="C49" s="11" t="s">
        <v>193</v>
      </c>
      <c r="D49" s="12">
        <v>0.0680978</v>
      </c>
      <c r="E49" s="12"/>
      <c r="F49" s="12">
        <v>0.00104568</v>
      </c>
    </row>
    <row r="50" ht="17.6" spans="1:6">
      <c r="A50" s="78"/>
      <c r="B50" s="11" t="s">
        <v>192</v>
      </c>
      <c r="C50" s="11" t="s">
        <v>194</v>
      </c>
      <c r="D50" s="12">
        <v>0.0605983</v>
      </c>
      <c r="E50" s="12"/>
      <c r="F50" s="12">
        <v>0.000974076</v>
      </c>
    </row>
    <row r="51" ht="17.6" spans="1:6">
      <c r="A51" s="79"/>
      <c r="B51" s="14" t="s">
        <v>193</v>
      </c>
      <c r="C51" s="14" t="s">
        <v>194</v>
      </c>
      <c r="D51" s="80">
        <v>0.136974</v>
      </c>
      <c r="E51" s="15"/>
      <c r="F51" s="15">
        <v>0.00136979</v>
      </c>
    </row>
  </sheetData>
  <mergeCells count="7">
    <mergeCell ref="A1:F1"/>
    <mergeCell ref="A3:A20"/>
    <mergeCell ref="A21:A41"/>
    <mergeCell ref="A42:A51"/>
    <mergeCell ref="E3:E20"/>
    <mergeCell ref="E21:E41"/>
    <mergeCell ref="E42:E5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23" sqref="A23:F23"/>
    </sheetView>
  </sheetViews>
  <sheetFormatPr defaultColWidth="10.375" defaultRowHeight="17.6" outlineLevelCol="5"/>
  <cols>
    <col min="1" max="1" width="45.375" style="49" customWidth="1"/>
    <col min="2" max="2" width="28" style="49" customWidth="1"/>
    <col min="3" max="3" width="16.375" style="49" customWidth="1"/>
    <col min="4" max="4" width="21.25" style="49" customWidth="1"/>
    <col min="5" max="5" width="20.875" style="49" customWidth="1"/>
    <col min="6" max="6" width="19.375" style="49" customWidth="1"/>
    <col min="7" max="8" width="21.625" style="49" customWidth="1"/>
    <col min="9" max="9" width="48.75" style="49" customWidth="1"/>
    <col min="10" max="16384" width="10.375" style="49"/>
  </cols>
  <sheetData>
    <row r="1" ht="18" spans="1:6">
      <c r="A1" s="69" t="s">
        <v>195</v>
      </c>
      <c r="B1" s="70"/>
      <c r="C1" s="70"/>
      <c r="D1" s="70"/>
      <c r="E1" s="70"/>
      <c r="F1" s="70"/>
    </row>
    <row r="2" spans="1:6">
      <c r="A2" s="8" t="s">
        <v>196</v>
      </c>
      <c r="B2" s="8" t="s">
        <v>197</v>
      </c>
      <c r="C2" s="8" t="s">
        <v>198</v>
      </c>
      <c r="D2" s="8" t="s">
        <v>199</v>
      </c>
      <c r="E2" s="8" t="s">
        <v>200</v>
      </c>
      <c r="F2" s="8" t="s">
        <v>201</v>
      </c>
    </row>
    <row r="3" spans="1:6">
      <c r="A3" s="11" t="s">
        <v>202</v>
      </c>
      <c r="B3" s="11" t="s">
        <v>203</v>
      </c>
      <c r="C3" s="11">
        <f t="shared" ref="C3:C22" si="0">(E3+2*D3)/2</f>
        <v>10</v>
      </c>
      <c r="D3" s="11">
        <v>-111861.98</v>
      </c>
      <c r="E3" s="11">
        <v>223743.96</v>
      </c>
      <c r="F3" s="11">
        <f t="shared" ref="F3:F22" si="1">E3-223743.96</f>
        <v>0</v>
      </c>
    </row>
    <row r="4" spans="1:6">
      <c r="A4" s="11" t="s">
        <v>204</v>
      </c>
      <c r="B4" s="11" t="s">
        <v>205</v>
      </c>
      <c r="C4" s="11">
        <f t="shared" si="0"/>
        <v>8</v>
      </c>
      <c r="D4" s="11">
        <v>-128375.24</v>
      </c>
      <c r="E4" s="11">
        <v>256766.48</v>
      </c>
      <c r="F4" s="11">
        <f t="shared" si="1"/>
        <v>33022.52</v>
      </c>
    </row>
    <row r="5" spans="1:6">
      <c r="A5" s="11" t="s">
        <v>206</v>
      </c>
      <c r="B5" s="11" t="s">
        <v>205</v>
      </c>
      <c r="C5" s="11">
        <f t="shared" si="0"/>
        <v>7</v>
      </c>
      <c r="D5" s="11">
        <v>-130121.45</v>
      </c>
      <c r="E5" s="11">
        <v>260256.9</v>
      </c>
      <c r="F5" s="11">
        <f t="shared" si="1"/>
        <v>36512.94</v>
      </c>
    </row>
    <row r="6" spans="1:6">
      <c r="A6" s="11" t="s">
        <v>207</v>
      </c>
      <c r="B6" s="11" t="s">
        <v>208</v>
      </c>
      <c r="C6" s="11">
        <f t="shared" si="0"/>
        <v>8</v>
      </c>
      <c r="D6" s="11">
        <v>-136321.33</v>
      </c>
      <c r="E6" s="11">
        <v>272658.66</v>
      </c>
      <c r="F6" s="11">
        <f t="shared" si="1"/>
        <v>48914.7</v>
      </c>
    </row>
    <row r="7" spans="1:6">
      <c r="A7" s="11" t="s">
        <v>209</v>
      </c>
      <c r="B7" s="11" t="s">
        <v>210</v>
      </c>
      <c r="C7" s="11">
        <f t="shared" si="0"/>
        <v>8</v>
      </c>
      <c r="D7" s="11">
        <v>-150655.54</v>
      </c>
      <c r="E7" s="11">
        <v>301327.08</v>
      </c>
      <c r="F7" s="11">
        <f t="shared" si="1"/>
        <v>77583.12</v>
      </c>
    </row>
    <row r="8" spans="1:6">
      <c r="A8" s="11" t="s">
        <v>211</v>
      </c>
      <c r="B8" s="11" t="s">
        <v>210</v>
      </c>
      <c r="C8" s="11">
        <f t="shared" si="0"/>
        <v>9</v>
      </c>
      <c r="D8" s="11">
        <v>-164992.91</v>
      </c>
      <c r="E8" s="11">
        <v>330003.82</v>
      </c>
      <c r="F8" s="11">
        <f t="shared" si="1"/>
        <v>106259.86</v>
      </c>
    </row>
    <row r="9" spans="1:6">
      <c r="A9" s="11" t="s">
        <v>212</v>
      </c>
      <c r="B9" s="11" t="s">
        <v>213</v>
      </c>
      <c r="C9" s="11">
        <f t="shared" si="0"/>
        <v>9</v>
      </c>
      <c r="D9" s="11">
        <v>-193657.11</v>
      </c>
      <c r="E9" s="11">
        <v>387332.22</v>
      </c>
      <c r="F9" s="11">
        <f t="shared" si="1"/>
        <v>163588.26</v>
      </c>
    </row>
    <row r="10" spans="1:6">
      <c r="A10" s="11" t="s">
        <v>214</v>
      </c>
      <c r="B10" s="11" t="s">
        <v>215</v>
      </c>
      <c r="C10" s="11">
        <f t="shared" si="0"/>
        <v>8</v>
      </c>
      <c r="D10" s="11">
        <v>-194904.72</v>
      </c>
      <c r="E10" s="11">
        <v>389825.44</v>
      </c>
      <c r="F10" s="11">
        <f t="shared" si="1"/>
        <v>166081.48</v>
      </c>
    </row>
    <row r="11" spans="1:6">
      <c r="A11" s="11" t="s">
        <v>216</v>
      </c>
      <c r="B11" s="11" t="s">
        <v>217</v>
      </c>
      <c r="C11" s="11">
        <f t="shared" si="0"/>
        <v>10</v>
      </c>
      <c r="D11" s="11">
        <v>-197566.84</v>
      </c>
      <c r="E11" s="11">
        <v>395153.68</v>
      </c>
      <c r="F11" s="11">
        <f t="shared" si="1"/>
        <v>171409.72</v>
      </c>
    </row>
    <row r="12" spans="1:6">
      <c r="A12" s="11" t="s">
        <v>218</v>
      </c>
      <c r="B12" s="11" t="s">
        <v>219</v>
      </c>
      <c r="C12" s="11">
        <f t="shared" si="0"/>
        <v>10</v>
      </c>
      <c r="D12" s="11">
        <v>-201613.49</v>
      </c>
      <c r="E12" s="11">
        <v>403246.98</v>
      </c>
      <c r="F12" s="11">
        <f t="shared" si="1"/>
        <v>179503.02</v>
      </c>
    </row>
    <row r="13" spans="1:6">
      <c r="A13" s="11" t="s">
        <v>220</v>
      </c>
      <c r="B13" s="11" t="s">
        <v>208</v>
      </c>
      <c r="C13" s="11">
        <f t="shared" si="0"/>
        <v>8</v>
      </c>
      <c r="D13" s="11">
        <v>-203019.08</v>
      </c>
      <c r="E13" s="11">
        <v>406054.16</v>
      </c>
      <c r="F13" s="11">
        <f t="shared" si="1"/>
        <v>182310.2</v>
      </c>
    </row>
    <row r="14" spans="1:6">
      <c r="A14" s="11" t="s">
        <v>221</v>
      </c>
      <c r="B14" s="11" t="s">
        <v>222</v>
      </c>
      <c r="C14" s="11">
        <f t="shared" si="0"/>
        <v>11</v>
      </c>
      <c r="D14" s="11">
        <v>-204933.89</v>
      </c>
      <c r="E14" s="11">
        <v>409889.78</v>
      </c>
      <c r="F14" s="11">
        <f t="shared" si="1"/>
        <v>186145.82</v>
      </c>
    </row>
    <row r="15" spans="1:6">
      <c r="A15" s="11" t="s">
        <v>223</v>
      </c>
      <c r="B15" s="11" t="s">
        <v>224</v>
      </c>
      <c r="C15" s="11">
        <f t="shared" si="0"/>
        <v>9</v>
      </c>
      <c r="D15" s="11">
        <v>-224070.63</v>
      </c>
      <c r="E15" s="11">
        <v>448159.26</v>
      </c>
      <c r="F15" s="11">
        <f t="shared" si="1"/>
        <v>224415.3</v>
      </c>
    </row>
    <row r="16" spans="1:6">
      <c r="A16" s="11" t="s">
        <v>225</v>
      </c>
      <c r="B16" s="11" t="s">
        <v>226</v>
      </c>
      <c r="C16" s="11">
        <f t="shared" si="0"/>
        <v>11</v>
      </c>
      <c r="D16" s="11">
        <v>-229063.83</v>
      </c>
      <c r="E16" s="11">
        <v>458149.66</v>
      </c>
      <c r="F16" s="11">
        <f t="shared" si="1"/>
        <v>234405.7</v>
      </c>
    </row>
    <row r="17" spans="1:6">
      <c r="A17" s="11" t="s">
        <v>227</v>
      </c>
      <c r="B17" s="11" t="s">
        <v>228</v>
      </c>
      <c r="C17" s="11">
        <f t="shared" si="0"/>
        <v>9</v>
      </c>
      <c r="D17" s="11">
        <v>-234331.57</v>
      </c>
      <c r="E17" s="11">
        <v>468681.14</v>
      </c>
      <c r="F17" s="11">
        <f t="shared" si="1"/>
        <v>244937.18</v>
      </c>
    </row>
    <row r="18" spans="1:6">
      <c r="A18" s="11" t="s">
        <v>229</v>
      </c>
      <c r="B18" s="11" t="s">
        <v>210</v>
      </c>
      <c r="C18" s="11">
        <f t="shared" si="0"/>
        <v>6</v>
      </c>
      <c r="D18" s="11">
        <v>-235412.3</v>
      </c>
      <c r="E18" s="11">
        <v>470836.6</v>
      </c>
      <c r="F18" s="11">
        <f t="shared" si="1"/>
        <v>247092.64</v>
      </c>
    </row>
    <row r="19" spans="1:6">
      <c r="A19" s="11" t="s">
        <v>230</v>
      </c>
      <c r="B19" s="11" t="s">
        <v>231</v>
      </c>
      <c r="C19" s="11">
        <f t="shared" si="0"/>
        <v>10</v>
      </c>
      <c r="D19" s="11">
        <v>-235537.5</v>
      </c>
      <c r="E19" s="11">
        <v>471095</v>
      </c>
      <c r="F19" s="11">
        <f t="shared" si="1"/>
        <v>247351.04</v>
      </c>
    </row>
    <row r="20" spans="1:6">
      <c r="A20" s="11" t="s">
        <v>232</v>
      </c>
      <c r="B20" s="11" t="s">
        <v>210</v>
      </c>
      <c r="C20" s="11">
        <f t="shared" si="0"/>
        <v>8</v>
      </c>
      <c r="D20" s="11">
        <v>-251767.77</v>
      </c>
      <c r="E20" s="11">
        <v>503551.54</v>
      </c>
      <c r="F20" s="11">
        <f t="shared" si="1"/>
        <v>279807.58</v>
      </c>
    </row>
    <row r="21" spans="1:6">
      <c r="A21" s="11" t="s">
        <v>233</v>
      </c>
      <c r="B21" s="11" t="s">
        <v>219</v>
      </c>
      <c r="C21" s="11">
        <f>(E21+2*D21)/2</f>
        <v>10</v>
      </c>
      <c r="D21" s="11">
        <v>-329667.67</v>
      </c>
      <c r="E21" s="11">
        <v>659355.34</v>
      </c>
      <c r="F21" s="11">
        <f t="shared" si="1"/>
        <v>435611.38</v>
      </c>
    </row>
    <row r="22" spans="1:6">
      <c r="A22" s="14" t="s">
        <v>234</v>
      </c>
      <c r="B22" s="14" t="s">
        <v>217</v>
      </c>
      <c r="C22" s="14">
        <f t="shared" si="0"/>
        <v>10</v>
      </c>
      <c r="D22" s="14">
        <v>-398107.78</v>
      </c>
      <c r="E22" s="14">
        <v>796235.56</v>
      </c>
      <c r="F22" s="14">
        <f t="shared" si="1"/>
        <v>572491.6</v>
      </c>
    </row>
    <row r="23" ht="54.95" customHeight="1" spans="1:6">
      <c r="A23" s="71" t="s">
        <v>235</v>
      </c>
      <c r="B23" s="71"/>
      <c r="C23" s="71"/>
      <c r="D23" s="71"/>
      <c r="E23" s="71"/>
      <c r="F23" s="71"/>
    </row>
  </sheetData>
  <mergeCells count="2">
    <mergeCell ref="A1:F1"/>
    <mergeCell ref="A23:F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zoomScale="107" zoomScaleNormal="107" workbookViewId="0">
      <selection activeCell="A14" sqref="A14:D14"/>
    </sheetView>
  </sheetViews>
  <sheetFormatPr defaultColWidth="9.25" defaultRowHeight="17.6" outlineLevelCol="4"/>
  <cols>
    <col min="1" max="4" width="25" style="62" customWidth="1"/>
    <col min="5" max="5" width="14.3942307692308" style="62" customWidth="1"/>
    <col min="6" max="7" width="13.8461538461538" style="4"/>
    <col min="8" max="16384" width="9.25" style="4"/>
  </cols>
  <sheetData>
    <row r="1" spans="1:5">
      <c r="A1" s="18" t="s">
        <v>236</v>
      </c>
      <c r="B1" s="5"/>
      <c r="C1" s="5"/>
      <c r="D1" s="5"/>
      <c r="E1" s="5"/>
    </row>
    <row r="2" spans="1:5">
      <c r="A2" s="63" t="s">
        <v>198</v>
      </c>
      <c r="B2" s="63" t="s">
        <v>237</v>
      </c>
      <c r="C2" s="7" t="s">
        <v>238</v>
      </c>
      <c r="D2" s="7"/>
      <c r="E2" s="4"/>
    </row>
    <row r="3" spans="1:5">
      <c r="A3" s="24"/>
      <c r="B3" s="24"/>
      <c r="C3" s="24" t="s">
        <v>239</v>
      </c>
      <c r="D3" s="24" t="s">
        <v>240</v>
      </c>
      <c r="E3" s="4"/>
    </row>
    <row r="4" spans="1:5">
      <c r="A4" s="23" t="s">
        <v>241</v>
      </c>
      <c r="B4" s="64">
        <v>32926.9432560323</v>
      </c>
      <c r="C4" s="64">
        <v>30102.4722296445</v>
      </c>
      <c r="D4" s="64">
        <v>35751.4142824201</v>
      </c>
      <c r="E4" s="4"/>
    </row>
    <row r="5" spans="1:5">
      <c r="A5" s="23" t="s">
        <v>242</v>
      </c>
      <c r="B5" s="64">
        <v>2751.28170577773</v>
      </c>
      <c r="C5" s="64">
        <v>2167.97007512175</v>
      </c>
      <c r="D5" s="64">
        <v>3334.59333643371</v>
      </c>
      <c r="E5" s="4"/>
    </row>
    <row r="6" spans="1:5">
      <c r="A6" s="23" t="s">
        <v>243</v>
      </c>
      <c r="B6" s="64">
        <v>40334.44424208</v>
      </c>
      <c r="C6" s="64">
        <v>36906.5338442544</v>
      </c>
      <c r="D6" s="64">
        <v>43762.3546399056</v>
      </c>
      <c r="E6" s="4"/>
    </row>
    <row r="7" spans="1:5">
      <c r="A7" s="23" t="s">
        <v>244</v>
      </c>
      <c r="B7" s="64">
        <v>93416.2284092903</v>
      </c>
      <c r="C7" s="64">
        <v>86994.2198423362</v>
      </c>
      <c r="D7" s="64">
        <v>99838.2369762444</v>
      </c>
      <c r="E7" s="4"/>
    </row>
    <row r="8" spans="1:5">
      <c r="A8" s="23" t="s">
        <v>245</v>
      </c>
      <c r="B8" s="65">
        <v>4.0591</v>
      </c>
      <c r="C8" s="65">
        <v>3.64077685091145</v>
      </c>
      <c r="D8" s="65">
        <v>4.47742314908855</v>
      </c>
      <c r="E8" s="4"/>
    </row>
    <row r="9" spans="1:5">
      <c r="A9" s="23" t="s">
        <v>246</v>
      </c>
      <c r="B9" s="65">
        <v>1.7605</v>
      </c>
      <c r="C9" s="65">
        <v>0.777960709652715</v>
      </c>
      <c r="D9" s="65">
        <v>2.74303929034729</v>
      </c>
      <c r="E9" s="4"/>
    </row>
    <row r="10" spans="1:5">
      <c r="A10" s="23" t="s">
        <v>247</v>
      </c>
      <c r="B10" s="65">
        <v>0.191</v>
      </c>
      <c r="C10" s="65">
        <v>0.0965782922892305</v>
      </c>
      <c r="D10" s="65">
        <v>0.28542170771077</v>
      </c>
      <c r="E10" s="4"/>
    </row>
    <row r="11" spans="1:5">
      <c r="A11" s="23" t="s">
        <v>248</v>
      </c>
      <c r="B11" s="64">
        <v>16272.4472472871</v>
      </c>
      <c r="C11" s="64">
        <v>8873.62616467824</v>
      </c>
      <c r="D11" s="64">
        <v>23671.268329896</v>
      </c>
      <c r="E11" s="4"/>
    </row>
    <row r="12" spans="1:5">
      <c r="A12" s="23" t="s">
        <v>249</v>
      </c>
      <c r="B12" s="64">
        <v>60975.6898264105</v>
      </c>
      <c r="C12" s="64">
        <v>52201.1478116309</v>
      </c>
      <c r="D12" s="64">
        <v>69750.2318411901</v>
      </c>
      <c r="E12" s="4"/>
    </row>
    <row r="13" spans="1:5">
      <c r="A13" s="24" t="s">
        <v>250</v>
      </c>
      <c r="B13" s="66">
        <v>11457.9253552094</v>
      </c>
      <c r="C13" s="66">
        <v>5051.67447477253</v>
      </c>
      <c r="D13" s="66">
        <v>17864.1762356463</v>
      </c>
      <c r="E13" s="4"/>
    </row>
    <row r="14" ht="87" customHeight="1" spans="1:5">
      <c r="A14" s="67" t="s">
        <v>251</v>
      </c>
      <c r="B14" s="67"/>
      <c r="C14" s="67"/>
      <c r="D14" s="67"/>
      <c r="E14" s="68"/>
    </row>
  </sheetData>
  <mergeCells count="5">
    <mergeCell ref="A1:E1"/>
    <mergeCell ref="C2:D2"/>
    <mergeCell ref="A14:D14"/>
    <mergeCell ref="A2:A3"/>
    <mergeCell ref="B2:B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:F1"/>
    </sheetView>
  </sheetViews>
  <sheetFormatPr defaultColWidth="9.25" defaultRowHeight="17.6" outlineLevelRow="6" outlineLevelCol="5"/>
  <cols>
    <col min="1" max="6" width="20.5" style="4" customWidth="1"/>
    <col min="7" max="16384" width="9.25" style="4"/>
  </cols>
  <sheetData>
    <row r="1" ht="18" spans="1:6">
      <c r="A1" s="51" t="s">
        <v>252</v>
      </c>
      <c r="B1" s="51"/>
      <c r="C1" s="51"/>
      <c r="D1" s="51"/>
      <c r="E1" s="51"/>
      <c r="F1" s="51"/>
    </row>
    <row r="2" spans="1:6">
      <c r="A2" s="52" t="s">
        <v>253</v>
      </c>
      <c r="B2" s="52" t="s">
        <v>254</v>
      </c>
      <c r="C2" s="52" t="s">
        <v>255</v>
      </c>
      <c r="D2" s="52" t="s">
        <v>256</v>
      </c>
      <c r="E2" s="52" t="s">
        <v>257</v>
      </c>
      <c r="F2" s="52" t="s">
        <v>258</v>
      </c>
    </row>
    <row r="3" spans="1:6">
      <c r="A3" s="53" t="s">
        <v>85</v>
      </c>
      <c r="B3" s="53" t="s">
        <v>52</v>
      </c>
      <c r="C3" s="53" t="s">
        <v>9</v>
      </c>
      <c r="D3" s="54">
        <v>0.138906</v>
      </c>
      <c r="E3" s="58">
        <v>40.8298</v>
      </c>
      <c r="F3" s="59">
        <v>2.3e-16</v>
      </c>
    </row>
    <row r="4" spans="1:6">
      <c r="A4" s="53" t="s">
        <v>52</v>
      </c>
      <c r="B4" s="53" t="s">
        <v>9</v>
      </c>
      <c r="C4" s="53" t="s">
        <v>149</v>
      </c>
      <c r="D4" s="54">
        <v>0.0867757</v>
      </c>
      <c r="E4" s="58">
        <v>19.6968</v>
      </c>
      <c r="F4" s="59">
        <v>2.3e-16</v>
      </c>
    </row>
    <row r="5" spans="1:6">
      <c r="A5" s="53" t="s">
        <v>85</v>
      </c>
      <c r="B5" s="53" t="s">
        <v>9</v>
      </c>
      <c r="C5" s="53" t="s">
        <v>149</v>
      </c>
      <c r="D5" s="54">
        <v>0.129009</v>
      </c>
      <c r="E5" s="58">
        <v>29.4879</v>
      </c>
      <c r="F5" s="59">
        <v>2.3e-16</v>
      </c>
    </row>
    <row r="6" spans="1:6">
      <c r="A6" s="55" t="s">
        <v>85</v>
      </c>
      <c r="B6" s="55" t="s">
        <v>52</v>
      </c>
      <c r="C6" s="55" t="s">
        <v>149</v>
      </c>
      <c r="D6" s="56">
        <v>0.0368838</v>
      </c>
      <c r="E6" s="60">
        <v>10.4308</v>
      </c>
      <c r="F6" s="61">
        <v>2.3e-16</v>
      </c>
    </row>
    <row r="7" spans="1:6">
      <c r="A7" s="57" t="s">
        <v>259</v>
      </c>
      <c r="B7" s="57"/>
      <c r="C7" s="57"/>
      <c r="D7" s="57"/>
      <c r="E7" s="57"/>
      <c r="F7" s="57"/>
    </row>
  </sheetData>
  <mergeCells count="2">
    <mergeCell ref="A1:F1"/>
    <mergeCell ref="A7:F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4"/>
  <sheetViews>
    <sheetView tabSelected="1" workbookViewId="0">
      <selection activeCell="A1" sqref="A1:BK1"/>
    </sheetView>
  </sheetViews>
  <sheetFormatPr defaultColWidth="9.25" defaultRowHeight="17.6"/>
  <cols>
    <col min="1" max="63" width="15.875" style="49" customWidth="1"/>
    <col min="64" max="16384" width="9.25" style="50"/>
  </cols>
  <sheetData>
    <row r="1" ht="15.95" customHeight="1" spans="1:63">
      <c r="A1" s="19" t="s">
        <v>260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</row>
    <row r="2" ht="20.1" customHeight="1" spans="1:63">
      <c r="A2" s="9" t="s">
        <v>261</v>
      </c>
      <c r="B2" s="9" t="s">
        <v>11</v>
      </c>
      <c r="C2" s="9" t="s">
        <v>13</v>
      </c>
      <c r="D2" s="9" t="s">
        <v>15</v>
      </c>
      <c r="E2" s="9" t="s">
        <v>17</v>
      </c>
      <c r="F2" s="9" t="s">
        <v>19</v>
      </c>
      <c r="G2" s="9" t="s">
        <v>21</v>
      </c>
      <c r="H2" s="9" t="s">
        <v>23</v>
      </c>
      <c r="I2" s="9" t="s">
        <v>25</v>
      </c>
      <c r="J2" s="9" t="s">
        <v>27</v>
      </c>
      <c r="K2" s="9" t="s">
        <v>29</v>
      </c>
      <c r="L2" s="9" t="s">
        <v>31</v>
      </c>
      <c r="M2" s="9" t="s">
        <v>33</v>
      </c>
      <c r="N2" s="9" t="s">
        <v>35</v>
      </c>
      <c r="O2" s="9" t="s">
        <v>37</v>
      </c>
      <c r="P2" s="9" t="s">
        <v>39</v>
      </c>
      <c r="Q2" s="9" t="s">
        <v>41</v>
      </c>
      <c r="R2" s="9" t="s">
        <v>43</v>
      </c>
      <c r="S2" s="9" t="s">
        <v>45</v>
      </c>
      <c r="T2" s="9" t="s">
        <v>47</v>
      </c>
      <c r="U2" s="9" t="s">
        <v>49</v>
      </c>
      <c r="V2" s="9" t="s">
        <v>51</v>
      </c>
      <c r="W2" s="9" t="s">
        <v>54</v>
      </c>
      <c r="X2" s="9" t="s">
        <v>56</v>
      </c>
      <c r="Y2" s="9" t="s">
        <v>58</v>
      </c>
      <c r="Z2" s="9" t="s">
        <v>60</v>
      </c>
      <c r="AA2" s="9" t="s">
        <v>62</v>
      </c>
      <c r="AB2" s="9" t="s">
        <v>64</v>
      </c>
      <c r="AC2" s="9" t="s">
        <v>66</v>
      </c>
      <c r="AD2" s="9" t="s">
        <v>68</v>
      </c>
      <c r="AE2" s="9" t="s">
        <v>70</v>
      </c>
      <c r="AF2" s="9" t="s">
        <v>72</v>
      </c>
      <c r="AG2" s="9" t="s">
        <v>74</v>
      </c>
      <c r="AH2" s="9" t="s">
        <v>76</v>
      </c>
      <c r="AI2" s="9" t="s">
        <v>78</v>
      </c>
      <c r="AJ2" s="9" t="s">
        <v>80</v>
      </c>
      <c r="AK2" s="9" t="s">
        <v>82</v>
      </c>
      <c r="AL2" s="9" t="s">
        <v>84</v>
      </c>
      <c r="AM2" s="9" t="s">
        <v>87</v>
      </c>
      <c r="AN2" s="9" t="s">
        <v>89</v>
      </c>
      <c r="AO2" s="9" t="s">
        <v>91</v>
      </c>
      <c r="AP2" s="9" t="s">
        <v>93</v>
      </c>
      <c r="AQ2" s="9" t="s">
        <v>95</v>
      </c>
      <c r="AR2" s="9" t="s">
        <v>97</v>
      </c>
      <c r="AS2" s="9" t="s">
        <v>99</v>
      </c>
      <c r="AT2" s="9" t="s">
        <v>101</v>
      </c>
      <c r="AU2" s="9" t="s">
        <v>103</v>
      </c>
      <c r="AV2" s="9" t="s">
        <v>105</v>
      </c>
      <c r="AW2" s="9" t="s">
        <v>107</v>
      </c>
      <c r="AX2" s="9" t="s">
        <v>109</v>
      </c>
      <c r="AY2" s="9" t="s">
        <v>111</v>
      </c>
      <c r="AZ2" s="9" t="s">
        <v>113</v>
      </c>
      <c r="BA2" s="9" t="s">
        <v>115</v>
      </c>
      <c r="BB2" s="9" t="s">
        <v>117</v>
      </c>
      <c r="BC2" s="9" t="s">
        <v>119</v>
      </c>
      <c r="BD2" s="9" t="s">
        <v>121</v>
      </c>
      <c r="BE2" s="9" t="s">
        <v>123</v>
      </c>
      <c r="BF2" s="9" t="s">
        <v>125</v>
      </c>
      <c r="BG2" s="9" t="s">
        <v>127</v>
      </c>
      <c r="BH2" s="9" t="s">
        <v>129</v>
      </c>
      <c r="BI2" s="9" t="s">
        <v>151</v>
      </c>
      <c r="BJ2" s="9" t="s">
        <v>154</v>
      </c>
      <c r="BK2" s="9" t="s">
        <v>156</v>
      </c>
    </row>
    <row r="3" ht="17.1" customHeight="1" spans="1:63">
      <c r="A3" s="12" t="s">
        <v>11</v>
      </c>
      <c r="B3" s="12">
        <v>0.996576</v>
      </c>
      <c r="C3" s="12">
        <v>0.228349</v>
      </c>
      <c r="D3" s="12">
        <v>0.218884</v>
      </c>
      <c r="E3" s="12">
        <v>0.029393</v>
      </c>
      <c r="F3" s="12">
        <v>0.043574</v>
      </c>
      <c r="G3" s="12">
        <v>0.029192</v>
      </c>
      <c r="H3" s="12">
        <v>0.158904</v>
      </c>
      <c r="I3" s="12">
        <v>0.156583</v>
      </c>
      <c r="J3" s="12">
        <v>0.159948</v>
      </c>
      <c r="K3" s="12">
        <v>0.141033</v>
      </c>
      <c r="L3" s="12">
        <v>0.161265</v>
      </c>
      <c r="M3" s="12">
        <v>0.15588</v>
      </c>
      <c r="N3" s="12">
        <v>0.14977</v>
      </c>
      <c r="O3" s="12">
        <v>0.149829</v>
      </c>
      <c r="P3" s="12">
        <v>0.152884</v>
      </c>
      <c r="Q3" s="12">
        <v>0.139225</v>
      </c>
      <c r="R3" s="12">
        <v>0.137185</v>
      </c>
      <c r="S3" s="12">
        <v>0.150765</v>
      </c>
      <c r="T3" s="12">
        <v>0.138121</v>
      </c>
      <c r="U3" s="12">
        <v>0.13784</v>
      </c>
      <c r="V3" s="12">
        <v>0.119493</v>
      </c>
      <c r="W3" s="12">
        <v>-0.148438</v>
      </c>
      <c r="X3" s="12">
        <v>-0.15651</v>
      </c>
      <c r="Y3" s="12">
        <v>-0.151198</v>
      </c>
      <c r="Z3" s="12">
        <v>-0.153054</v>
      </c>
      <c r="AA3" s="12">
        <v>-0.150515</v>
      </c>
      <c r="AB3" s="12">
        <v>-0.148451</v>
      </c>
      <c r="AC3" s="12">
        <v>-0.145952</v>
      </c>
      <c r="AD3" s="12">
        <v>-0.146659</v>
      </c>
      <c r="AE3" s="12">
        <v>-0.140827</v>
      </c>
      <c r="AF3" s="12">
        <v>-0.143905</v>
      </c>
      <c r="AG3" s="12">
        <v>-0.135286</v>
      </c>
      <c r="AH3" s="12">
        <v>-0.119857</v>
      </c>
      <c r="AI3" s="12">
        <v>-0.139202</v>
      </c>
      <c r="AJ3" s="12">
        <v>-0.099279</v>
      </c>
      <c r="AK3" s="12">
        <v>-0.134728</v>
      </c>
      <c r="AL3" s="12">
        <v>-0.130353</v>
      </c>
      <c r="AM3" s="12">
        <v>-0.071135</v>
      </c>
      <c r="AN3" s="12">
        <v>-0.076486</v>
      </c>
      <c r="AO3" s="12">
        <v>-0.074635</v>
      </c>
      <c r="AP3" s="12">
        <v>-0.073364</v>
      </c>
      <c r="AQ3" s="12">
        <v>-0.084043</v>
      </c>
      <c r="AR3" s="12">
        <v>-0.085273</v>
      </c>
      <c r="AS3" s="12">
        <v>-0.089399</v>
      </c>
      <c r="AT3" s="12">
        <v>-0.077582</v>
      </c>
      <c r="AU3" s="12">
        <v>-0.079044</v>
      </c>
      <c r="AV3" s="12">
        <v>-0.08957</v>
      </c>
      <c r="AW3" s="12">
        <v>-0.080188</v>
      </c>
      <c r="AX3" s="12">
        <v>-0.090012</v>
      </c>
      <c r="AY3" s="12">
        <v>-0.078198</v>
      </c>
      <c r="AZ3" s="12">
        <v>-0.085254</v>
      </c>
      <c r="BA3" s="12">
        <v>-0.076849</v>
      </c>
      <c r="BB3" s="12">
        <v>-0.079957</v>
      </c>
      <c r="BC3" s="12">
        <v>-0.081279</v>
      </c>
      <c r="BD3" s="12">
        <v>-0.079301</v>
      </c>
      <c r="BE3" s="12">
        <v>-0.061099</v>
      </c>
      <c r="BF3" s="12">
        <v>-0.061944</v>
      </c>
      <c r="BG3" s="12">
        <v>-0.078739</v>
      </c>
      <c r="BH3" s="12">
        <v>-0.039043</v>
      </c>
      <c r="BI3" s="12">
        <v>0.024505</v>
      </c>
      <c r="BJ3" s="12">
        <v>0.024462</v>
      </c>
      <c r="BK3" s="12">
        <v>0.025002</v>
      </c>
    </row>
    <row r="4" spans="1:63">
      <c r="A4" s="12" t="s">
        <v>13</v>
      </c>
      <c r="B4" s="12">
        <v>0.228349</v>
      </c>
      <c r="C4" s="12">
        <v>1.146717</v>
      </c>
      <c r="D4" s="12">
        <v>0.391031</v>
      </c>
      <c r="E4" s="12">
        <v>0.070725</v>
      </c>
      <c r="F4" s="12">
        <v>0.066363</v>
      </c>
      <c r="G4" s="12">
        <v>0.069772</v>
      </c>
      <c r="H4" s="12">
        <v>0.278523</v>
      </c>
      <c r="I4" s="12">
        <v>0.263252</v>
      </c>
      <c r="J4" s="12">
        <v>0.27591</v>
      </c>
      <c r="K4" s="12">
        <v>0.241229</v>
      </c>
      <c r="L4" s="12">
        <v>0.267068</v>
      </c>
      <c r="M4" s="12">
        <v>0.28302</v>
      </c>
      <c r="N4" s="12">
        <v>0.251965</v>
      </c>
      <c r="O4" s="12">
        <v>0.278959</v>
      </c>
      <c r="P4" s="12">
        <v>0.266352</v>
      </c>
      <c r="Q4" s="12">
        <v>0.247829</v>
      </c>
      <c r="R4" s="12">
        <v>0.250889</v>
      </c>
      <c r="S4" s="12">
        <v>0.23876</v>
      </c>
      <c r="T4" s="12">
        <v>0.2418</v>
      </c>
      <c r="U4" s="12">
        <v>0.238945</v>
      </c>
      <c r="V4" s="12">
        <v>0.195816</v>
      </c>
      <c r="W4" s="12">
        <v>-0.199078</v>
      </c>
      <c r="X4" s="12">
        <v>-0.20966</v>
      </c>
      <c r="Y4" s="12">
        <v>-0.200972</v>
      </c>
      <c r="Z4" s="12">
        <v>-0.204197</v>
      </c>
      <c r="AA4" s="12">
        <v>-0.201006</v>
      </c>
      <c r="AB4" s="12">
        <v>-0.19844</v>
      </c>
      <c r="AC4" s="12">
        <v>-0.195355</v>
      </c>
      <c r="AD4" s="12">
        <v>-0.198497</v>
      </c>
      <c r="AE4" s="12">
        <v>-0.191471</v>
      </c>
      <c r="AF4" s="12">
        <v>-0.193</v>
      </c>
      <c r="AG4" s="12">
        <v>-0.186541</v>
      </c>
      <c r="AH4" s="12">
        <v>-0.169963</v>
      </c>
      <c r="AI4" s="12">
        <v>-0.189472</v>
      </c>
      <c r="AJ4" s="12">
        <v>-0.149729</v>
      </c>
      <c r="AK4" s="12">
        <v>-0.185204</v>
      </c>
      <c r="AL4" s="12">
        <v>-0.180238</v>
      </c>
      <c r="AM4" s="12">
        <v>-0.127243</v>
      </c>
      <c r="AN4" s="12">
        <v>-0.130986</v>
      </c>
      <c r="AO4" s="12">
        <v>-0.129932</v>
      </c>
      <c r="AP4" s="12">
        <v>-0.128446</v>
      </c>
      <c r="AQ4" s="12">
        <v>-0.138088</v>
      </c>
      <c r="AR4" s="12">
        <v>-0.139464</v>
      </c>
      <c r="AS4" s="12">
        <v>-0.145808</v>
      </c>
      <c r="AT4" s="12">
        <v>-0.135417</v>
      </c>
      <c r="AU4" s="12">
        <v>-0.134966</v>
      </c>
      <c r="AV4" s="12">
        <v>-0.145825</v>
      </c>
      <c r="AW4" s="12">
        <v>-0.136539</v>
      </c>
      <c r="AX4" s="12">
        <v>-0.14433</v>
      </c>
      <c r="AY4" s="12">
        <v>-0.133877</v>
      </c>
      <c r="AZ4" s="12">
        <v>-0.142206</v>
      </c>
      <c r="BA4" s="12">
        <v>-0.133533</v>
      </c>
      <c r="BB4" s="12">
        <v>-0.138243</v>
      </c>
      <c r="BC4" s="12">
        <v>-0.135934</v>
      </c>
      <c r="BD4" s="12">
        <v>-0.13272</v>
      </c>
      <c r="BE4" s="12">
        <v>-0.112374</v>
      </c>
      <c r="BF4" s="12">
        <v>-0.116768</v>
      </c>
      <c r="BG4" s="12">
        <v>-0.135601</v>
      </c>
      <c r="BH4" s="12">
        <v>-0.092399</v>
      </c>
      <c r="BI4" s="12">
        <v>-0.004242</v>
      </c>
      <c r="BJ4" s="12">
        <v>-0.008435</v>
      </c>
      <c r="BK4" s="12">
        <v>-0.005103</v>
      </c>
    </row>
    <row r="5" spans="1:63">
      <c r="A5" s="12" t="s">
        <v>15</v>
      </c>
      <c r="B5" s="12">
        <v>0.218884</v>
      </c>
      <c r="C5" s="12">
        <v>0.391031</v>
      </c>
      <c r="D5" s="12">
        <v>1.155298</v>
      </c>
      <c r="E5" s="12">
        <v>0.066911</v>
      </c>
      <c r="F5" s="12">
        <v>0.063034</v>
      </c>
      <c r="G5" s="12">
        <v>0.065945</v>
      </c>
      <c r="H5" s="12">
        <v>0.302596</v>
      </c>
      <c r="I5" s="12">
        <v>0.275847</v>
      </c>
      <c r="J5" s="12">
        <v>0.297594</v>
      </c>
      <c r="K5" s="12">
        <v>0.255087</v>
      </c>
      <c r="L5" s="12">
        <v>0.28086</v>
      </c>
      <c r="M5" s="12">
        <v>0.31007</v>
      </c>
      <c r="N5" s="12">
        <v>0.267361</v>
      </c>
      <c r="O5" s="12">
        <v>0.286224</v>
      </c>
      <c r="P5" s="12">
        <v>0.281841</v>
      </c>
      <c r="Q5" s="12">
        <v>0.25142</v>
      </c>
      <c r="R5" s="12">
        <v>0.26077</v>
      </c>
      <c r="S5" s="12">
        <v>0.250439</v>
      </c>
      <c r="T5" s="12">
        <v>0.253534</v>
      </c>
      <c r="U5" s="12">
        <v>0.250294</v>
      </c>
      <c r="V5" s="12">
        <v>0.204468</v>
      </c>
      <c r="W5" s="12">
        <v>-0.202006</v>
      </c>
      <c r="X5" s="12">
        <v>-0.212574</v>
      </c>
      <c r="Y5" s="12">
        <v>-0.205247</v>
      </c>
      <c r="Z5" s="12">
        <v>-0.208618</v>
      </c>
      <c r="AA5" s="12">
        <v>-0.202955</v>
      </c>
      <c r="AB5" s="12">
        <v>-0.20318</v>
      </c>
      <c r="AC5" s="12">
        <v>-0.200062</v>
      </c>
      <c r="AD5" s="12">
        <v>-0.202438</v>
      </c>
      <c r="AE5" s="12">
        <v>-0.195962</v>
      </c>
      <c r="AF5" s="12">
        <v>-0.197319</v>
      </c>
      <c r="AG5" s="12">
        <v>-0.191803</v>
      </c>
      <c r="AH5" s="12">
        <v>-0.176404</v>
      </c>
      <c r="AI5" s="12">
        <v>-0.193641</v>
      </c>
      <c r="AJ5" s="12">
        <v>-0.154941</v>
      </c>
      <c r="AK5" s="12">
        <v>-0.188764</v>
      </c>
      <c r="AL5" s="12">
        <v>-0.183452</v>
      </c>
      <c r="AM5" s="12">
        <v>-0.132251</v>
      </c>
      <c r="AN5" s="12">
        <v>-0.137027</v>
      </c>
      <c r="AO5" s="12">
        <v>-0.135754</v>
      </c>
      <c r="AP5" s="12">
        <v>-0.133674</v>
      </c>
      <c r="AQ5" s="12">
        <v>-0.144193</v>
      </c>
      <c r="AR5" s="12">
        <v>-0.144789</v>
      </c>
      <c r="AS5" s="12">
        <v>-0.149896</v>
      </c>
      <c r="AT5" s="12">
        <v>-0.139742</v>
      </c>
      <c r="AU5" s="12">
        <v>-0.141945</v>
      </c>
      <c r="AV5" s="12">
        <v>-0.150138</v>
      </c>
      <c r="AW5" s="12">
        <v>-0.143435</v>
      </c>
      <c r="AX5" s="12">
        <v>-0.149636</v>
      </c>
      <c r="AY5" s="12">
        <v>-0.140284</v>
      </c>
      <c r="AZ5" s="12">
        <v>-0.147888</v>
      </c>
      <c r="BA5" s="12">
        <v>-0.138906</v>
      </c>
      <c r="BB5" s="12">
        <v>-0.142993</v>
      </c>
      <c r="BC5" s="12">
        <v>-0.140543</v>
      </c>
      <c r="BD5" s="12">
        <v>-0.137429</v>
      </c>
      <c r="BE5" s="12">
        <v>-0.119408</v>
      </c>
      <c r="BF5" s="12">
        <v>-0.122907</v>
      </c>
      <c r="BG5" s="12">
        <v>-0.140435</v>
      </c>
      <c r="BH5" s="12">
        <v>-0.09965</v>
      </c>
      <c r="BI5" s="12">
        <v>-0.007563</v>
      </c>
      <c r="BJ5" s="12">
        <v>-0.011578</v>
      </c>
      <c r="BK5" s="12">
        <v>-0.007092</v>
      </c>
    </row>
    <row r="6" spans="1:63">
      <c r="A6" s="12" t="s">
        <v>17</v>
      </c>
      <c r="B6" s="12">
        <v>0.029393</v>
      </c>
      <c r="C6" s="12">
        <v>0.070725</v>
      </c>
      <c r="D6" s="12">
        <v>0.066911</v>
      </c>
      <c r="E6" s="12">
        <v>1.225229</v>
      </c>
      <c r="F6" s="12">
        <v>0.37369</v>
      </c>
      <c r="G6" s="12">
        <v>0.556772</v>
      </c>
      <c r="H6" s="12">
        <v>0.112218</v>
      </c>
      <c r="I6" s="12">
        <v>0.098837</v>
      </c>
      <c r="J6" s="12">
        <v>0.117761</v>
      </c>
      <c r="K6" s="12">
        <v>0.047756</v>
      </c>
      <c r="L6" s="12">
        <v>0.055429</v>
      </c>
      <c r="M6" s="12">
        <v>0.071059</v>
      </c>
      <c r="N6" s="12">
        <v>0.050154</v>
      </c>
      <c r="O6" s="12">
        <v>0.059819</v>
      </c>
      <c r="P6" s="12">
        <v>0.065889</v>
      </c>
      <c r="Q6" s="12">
        <v>0.082192</v>
      </c>
      <c r="R6" s="12">
        <v>0.073669</v>
      </c>
      <c r="S6" s="12">
        <v>0.070755</v>
      </c>
      <c r="T6" s="12">
        <v>0.059583</v>
      </c>
      <c r="U6" s="12">
        <v>0.051846</v>
      </c>
      <c r="V6" s="12">
        <v>0.024697</v>
      </c>
      <c r="W6" s="12">
        <v>-0.002443</v>
      </c>
      <c r="X6" s="12">
        <v>0.01853</v>
      </c>
      <c r="Y6" s="12">
        <v>0.0125</v>
      </c>
      <c r="Z6" s="12">
        <v>0.018151</v>
      </c>
      <c r="AA6" s="12">
        <v>0.023163</v>
      </c>
      <c r="AB6" s="12">
        <v>0.010445</v>
      </c>
      <c r="AC6" s="12">
        <v>0.016308</v>
      </c>
      <c r="AD6" s="12">
        <v>0.014386</v>
      </c>
      <c r="AE6" s="12">
        <v>0.011085</v>
      </c>
      <c r="AF6" s="12">
        <v>0.011773</v>
      </c>
      <c r="AG6" s="12">
        <v>0.00121</v>
      </c>
      <c r="AH6" s="12">
        <v>0.000395</v>
      </c>
      <c r="AI6" s="12">
        <v>0.004009</v>
      </c>
      <c r="AJ6" s="12">
        <v>7.7e-5</v>
      </c>
      <c r="AK6" s="12">
        <v>0.030118</v>
      </c>
      <c r="AL6" s="12">
        <v>0.040298</v>
      </c>
      <c r="AM6" s="12">
        <v>-0.158696</v>
      </c>
      <c r="AN6" s="12">
        <v>-0.163726</v>
      </c>
      <c r="AO6" s="12">
        <v>-0.161681</v>
      </c>
      <c r="AP6" s="12">
        <v>-0.160195</v>
      </c>
      <c r="AQ6" s="12">
        <v>-0.169308</v>
      </c>
      <c r="AR6" s="12">
        <v>-0.170274</v>
      </c>
      <c r="AS6" s="12">
        <v>-0.174519</v>
      </c>
      <c r="AT6" s="12">
        <v>-0.160964</v>
      </c>
      <c r="AU6" s="12">
        <v>-0.163186</v>
      </c>
      <c r="AV6" s="12">
        <v>-0.172275</v>
      </c>
      <c r="AW6" s="12">
        <v>-0.16542</v>
      </c>
      <c r="AX6" s="12">
        <v>-0.166694</v>
      </c>
      <c r="AY6" s="12">
        <v>-0.163944</v>
      </c>
      <c r="AZ6" s="12">
        <v>-0.169265</v>
      </c>
      <c r="BA6" s="12">
        <v>-0.16703</v>
      </c>
      <c r="BB6" s="12">
        <v>-0.162976</v>
      </c>
      <c r="BC6" s="12">
        <v>-0.165327</v>
      </c>
      <c r="BD6" s="12">
        <v>-0.16524</v>
      </c>
      <c r="BE6" s="12">
        <v>-0.150442</v>
      </c>
      <c r="BF6" s="12">
        <v>-0.149698</v>
      </c>
      <c r="BG6" s="12">
        <v>-0.163521</v>
      </c>
      <c r="BH6" s="12">
        <v>-0.129267</v>
      </c>
      <c r="BI6" s="12">
        <v>-0.06265</v>
      </c>
      <c r="BJ6" s="12">
        <v>-0.065543</v>
      </c>
      <c r="BK6" s="12">
        <v>-0.062591</v>
      </c>
    </row>
    <row r="7" spans="1:63">
      <c r="A7" s="12" t="s">
        <v>19</v>
      </c>
      <c r="B7" s="12">
        <v>0.043574</v>
      </c>
      <c r="C7" s="12">
        <v>0.066363</v>
      </c>
      <c r="D7" s="12">
        <v>0.063034</v>
      </c>
      <c r="E7" s="12">
        <v>0.37369</v>
      </c>
      <c r="F7" s="12">
        <v>1.093709</v>
      </c>
      <c r="G7" s="12">
        <v>0.371385</v>
      </c>
      <c r="H7" s="12">
        <v>0.094563</v>
      </c>
      <c r="I7" s="12">
        <v>0.100004</v>
      </c>
      <c r="J7" s="12">
        <v>0.101965</v>
      </c>
      <c r="K7" s="12">
        <v>0.051989</v>
      </c>
      <c r="L7" s="12">
        <v>0.050393</v>
      </c>
      <c r="M7" s="12">
        <v>0.060242</v>
      </c>
      <c r="N7" s="12">
        <v>0.047218</v>
      </c>
      <c r="O7" s="12">
        <v>0.044311</v>
      </c>
      <c r="P7" s="12">
        <v>0.047442</v>
      </c>
      <c r="Q7" s="12">
        <v>0.070611</v>
      </c>
      <c r="R7" s="12">
        <v>0.064497</v>
      </c>
      <c r="S7" s="12">
        <v>0.066997</v>
      </c>
      <c r="T7" s="12">
        <v>0.042253</v>
      </c>
      <c r="U7" s="12">
        <v>0.044025</v>
      </c>
      <c r="V7" s="12">
        <v>0.037786</v>
      </c>
      <c r="W7" s="12">
        <v>-0.063172</v>
      </c>
      <c r="X7" s="12">
        <v>-0.060038</v>
      </c>
      <c r="Y7" s="12">
        <v>-0.055409</v>
      </c>
      <c r="Z7" s="12">
        <v>-0.059465</v>
      </c>
      <c r="AA7" s="12">
        <v>-0.055156</v>
      </c>
      <c r="AB7" s="12">
        <v>-0.057457</v>
      </c>
      <c r="AC7" s="12">
        <v>-0.054656</v>
      </c>
      <c r="AD7" s="12">
        <v>-0.05343</v>
      </c>
      <c r="AE7" s="12">
        <v>-0.050348</v>
      </c>
      <c r="AF7" s="12">
        <v>-0.056436</v>
      </c>
      <c r="AG7" s="12">
        <v>-0.051418</v>
      </c>
      <c r="AH7" s="12">
        <v>-0.035964</v>
      </c>
      <c r="AI7" s="12">
        <v>-0.053122</v>
      </c>
      <c r="AJ7" s="12">
        <v>-0.025768</v>
      </c>
      <c r="AK7" s="12">
        <v>-0.041373</v>
      </c>
      <c r="AL7" s="12">
        <v>-0.03015</v>
      </c>
      <c r="AM7" s="12">
        <v>-0.087064</v>
      </c>
      <c r="AN7" s="12">
        <v>-0.094211</v>
      </c>
      <c r="AO7" s="12">
        <v>-0.091219</v>
      </c>
      <c r="AP7" s="12">
        <v>-0.0903</v>
      </c>
      <c r="AQ7" s="12">
        <v>-0.106534</v>
      </c>
      <c r="AR7" s="12">
        <v>-0.110072</v>
      </c>
      <c r="AS7" s="12">
        <v>-0.116489</v>
      </c>
      <c r="AT7" s="12">
        <v>-0.10464</v>
      </c>
      <c r="AU7" s="12">
        <v>-0.106772</v>
      </c>
      <c r="AV7" s="12">
        <v>-0.119743</v>
      </c>
      <c r="AW7" s="12">
        <v>-0.112428</v>
      </c>
      <c r="AX7" s="12">
        <v>-0.118078</v>
      </c>
      <c r="AY7" s="12">
        <v>-0.109246</v>
      </c>
      <c r="AZ7" s="12">
        <v>-0.113993</v>
      </c>
      <c r="BA7" s="12">
        <v>-0.109731</v>
      </c>
      <c r="BB7" s="12">
        <v>-0.108907</v>
      </c>
      <c r="BC7" s="12">
        <v>-0.101418</v>
      </c>
      <c r="BD7" s="12">
        <v>-0.101692</v>
      </c>
      <c r="BE7" s="12">
        <v>-0.076682</v>
      </c>
      <c r="BF7" s="12">
        <v>-0.084614</v>
      </c>
      <c r="BG7" s="12">
        <v>-0.107792</v>
      </c>
      <c r="BH7" s="12">
        <v>-0.05088</v>
      </c>
      <c r="BI7" s="12">
        <v>-0.022195</v>
      </c>
      <c r="BJ7" s="12">
        <v>-0.017067</v>
      </c>
      <c r="BK7" s="12">
        <v>-0.021973</v>
      </c>
    </row>
    <row r="8" spans="1:63">
      <c r="A8" s="12" t="s">
        <v>21</v>
      </c>
      <c r="B8" s="12">
        <v>0.029192</v>
      </c>
      <c r="C8" s="12">
        <v>0.069772</v>
      </c>
      <c r="D8" s="12">
        <v>0.065945</v>
      </c>
      <c r="E8" s="12">
        <v>0.556772</v>
      </c>
      <c r="F8" s="12">
        <v>0.371385</v>
      </c>
      <c r="G8" s="12">
        <v>1.214297</v>
      </c>
      <c r="H8" s="12">
        <v>0.111692</v>
      </c>
      <c r="I8" s="12">
        <v>0.098765</v>
      </c>
      <c r="J8" s="12">
        <v>0.116397</v>
      </c>
      <c r="K8" s="12">
        <v>0.046486</v>
      </c>
      <c r="L8" s="12">
        <v>0.054119</v>
      </c>
      <c r="M8" s="12">
        <v>0.069809</v>
      </c>
      <c r="N8" s="12">
        <v>0.050293</v>
      </c>
      <c r="O8" s="12">
        <v>0.058272</v>
      </c>
      <c r="P8" s="12">
        <v>0.063742</v>
      </c>
      <c r="Q8" s="12">
        <v>0.081918</v>
      </c>
      <c r="R8" s="12">
        <v>0.073614</v>
      </c>
      <c r="S8" s="12">
        <v>0.069499</v>
      </c>
      <c r="T8" s="12">
        <v>0.058618</v>
      </c>
      <c r="U8" s="12">
        <v>0.048372</v>
      </c>
      <c r="V8" s="12">
        <v>0.024223</v>
      </c>
      <c r="W8" s="12">
        <v>-0.00285</v>
      </c>
      <c r="X8" s="12">
        <v>0.019461</v>
      </c>
      <c r="Y8" s="12">
        <v>0.013704</v>
      </c>
      <c r="Z8" s="12">
        <v>0.018331</v>
      </c>
      <c r="AA8" s="12">
        <v>0.021732</v>
      </c>
      <c r="AB8" s="12">
        <v>0.009141</v>
      </c>
      <c r="AC8" s="12">
        <v>0.016252</v>
      </c>
      <c r="AD8" s="12">
        <v>0.015948</v>
      </c>
      <c r="AE8" s="12">
        <v>0.011376</v>
      </c>
      <c r="AF8" s="12">
        <v>0.011775</v>
      </c>
      <c r="AG8" s="12">
        <v>0.003745</v>
      </c>
      <c r="AH8" s="12">
        <v>0.000775</v>
      </c>
      <c r="AI8" s="12">
        <v>0.004779</v>
      </c>
      <c r="AJ8" s="12">
        <v>-0.001199</v>
      </c>
      <c r="AK8" s="12">
        <v>0.029966</v>
      </c>
      <c r="AL8" s="12">
        <v>0.041756</v>
      </c>
      <c r="AM8" s="12">
        <v>-0.157424</v>
      </c>
      <c r="AN8" s="12">
        <v>-0.162531</v>
      </c>
      <c r="AO8" s="12">
        <v>-0.160063</v>
      </c>
      <c r="AP8" s="12">
        <v>-0.159434</v>
      </c>
      <c r="AQ8" s="12">
        <v>-0.168447</v>
      </c>
      <c r="AR8" s="12">
        <v>-0.16923</v>
      </c>
      <c r="AS8" s="12">
        <v>-0.173295</v>
      </c>
      <c r="AT8" s="12">
        <v>-0.160171</v>
      </c>
      <c r="AU8" s="12">
        <v>-0.161878</v>
      </c>
      <c r="AV8" s="12">
        <v>-0.170214</v>
      </c>
      <c r="AW8" s="12">
        <v>-0.163994</v>
      </c>
      <c r="AX8" s="12">
        <v>-0.165657</v>
      </c>
      <c r="AY8" s="12">
        <v>-0.161658</v>
      </c>
      <c r="AZ8" s="12">
        <v>-0.168383</v>
      </c>
      <c r="BA8" s="12">
        <v>-0.165637</v>
      </c>
      <c r="BB8" s="12">
        <v>-0.16138</v>
      </c>
      <c r="BC8" s="12">
        <v>-0.164681</v>
      </c>
      <c r="BD8" s="12">
        <v>-0.164508</v>
      </c>
      <c r="BE8" s="12">
        <v>-0.148882</v>
      </c>
      <c r="BF8" s="12">
        <v>-0.149002</v>
      </c>
      <c r="BG8" s="12">
        <v>-0.16197</v>
      </c>
      <c r="BH8" s="12">
        <v>-0.128015</v>
      </c>
      <c r="BI8" s="12">
        <v>-0.061817</v>
      </c>
      <c r="BJ8" s="12">
        <v>-0.064968</v>
      </c>
      <c r="BK8" s="12">
        <v>-0.062752</v>
      </c>
    </row>
    <row r="9" spans="1:63">
      <c r="A9" s="12" t="s">
        <v>23</v>
      </c>
      <c r="B9" s="12">
        <v>0.158904</v>
      </c>
      <c r="C9" s="12">
        <v>0.278523</v>
      </c>
      <c r="D9" s="12">
        <v>0.302596</v>
      </c>
      <c r="E9" s="12">
        <v>0.112218</v>
      </c>
      <c r="F9" s="12">
        <v>0.094563</v>
      </c>
      <c r="G9" s="12">
        <v>0.111692</v>
      </c>
      <c r="H9" s="12">
        <v>1.176125</v>
      </c>
      <c r="I9" s="12">
        <v>0.434406</v>
      </c>
      <c r="J9" s="12">
        <v>0.445279</v>
      </c>
      <c r="K9" s="12">
        <v>0.238505</v>
      </c>
      <c r="L9" s="12">
        <v>0.274645</v>
      </c>
      <c r="M9" s="12">
        <v>0.273528</v>
      </c>
      <c r="N9" s="12">
        <v>0.259148</v>
      </c>
      <c r="O9" s="12">
        <v>0.268485</v>
      </c>
      <c r="P9" s="12">
        <v>0.273214</v>
      </c>
      <c r="Q9" s="12">
        <v>0.283583</v>
      </c>
      <c r="R9" s="12">
        <v>0.298633</v>
      </c>
      <c r="S9" s="12">
        <v>0.28255</v>
      </c>
      <c r="T9" s="12">
        <v>0.271573</v>
      </c>
      <c r="U9" s="12">
        <v>0.248346</v>
      </c>
      <c r="V9" s="12">
        <v>0.200477</v>
      </c>
      <c r="W9" s="12">
        <v>-0.210572</v>
      </c>
      <c r="X9" s="12">
        <v>-0.219809</v>
      </c>
      <c r="Y9" s="12">
        <v>-0.212249</v>
      </c>
      <c r="Z9" s="12">
        <v>-0.213697</v>
      </c>
      <c r="AA9" s="12">
        <v>-0.211339</v>
      </c>
      <c r="AB9" s="12">
        <v>-0.209398</v>
      </c>
      <c r="AC9" s="12">
        <v>-0.205775</v>
      </c>
      <c r="AD9" s="12">
        <v>-0.209228</v>
      </c>
      <c r="AE9" s="12">
        <v>-0.203615</v>
      </c>
      <c r="AF9" s="12">
        <v>-0.205814</v>
      </c>
      <c r="AG9" s="12">
        <v>-0.197437</v>
      </c>
      <c r="AH9" s="12">
        <v>-0.183465</v>
      </c>
      <c r="AI9" s="12">
        <v>-0.199991</v>
      </c>
      <c r="AJ9" s="12">
        <v>-0.164323</v>
      </c>
      <c r="AK9" s="12">
        <v>-0.19615</v>
      </c>
      <c r="AL9" s="12">
        <v>-0.189699</v>
      </c>
      <c r="AM9" s="12">
        <v>-0.142217</v>
      </c>
      <c r="AN9" s="12">
        <v>-0.146159</v>
      </c>
      <c r="AO9" s="12">
        <v>-0.144663</v>
      </c>
      <c r="AP9" s="12">
        <v>-0.143091</v>
      </c>
      <c r="AQ9" s="12">
        <v>-0.15163</v>
      </c>
      <c r="AR9" s="12">
        <v>-0.15252</v>
      </c>
      <c r="AS9" s="12">
        <v>-0.15834</v>
      </c>
      <c r="AT9" s="12">
        <v>-0.147106</v>
      </c>
      <c r="AU9" s="12">
        <v>-0.14858</v>
      </c>
      <c r="AV9" s="12">
        <v>-0.158651</v>
      </c>
      <c r="AW9" s="12">
        <v>-0.150142</v>
      </c>
      <c r="AX9" s="12">
        <v>-0.153942</v>
      </c>
      <c r="AY9" s="12">
        <v>-0.147839</v>
      </c>
      <c r="AZ9" s="12">
        <v>-0.154883</v>
      </c>
      <c r="BA9" s="12">
        <v>-0.146868</v>
      </c>
      <c r="BB9" s="12">
        <v>-0.148705</v>
      </c>
      <c r="BC9" s="12">
        <v>-0.148827</v>
      </c>
      <c r="BD9" s="12">
        <v>-0.146575</v>
      </c>
      <c r="BE9" s="12">
        <v>-0.129394</v>
      </c>
      <c r="BF9" s="12">
        <v>-0.131269</v>
      </c>
      <c r="BG9" s="12">
        <v>-0.148974</v>
      </c>
      <c r="BH9" s="12">
        <v>-0.109489</v>
      </c>
      <c r="BI9" s="12">
        <v>-0.012074</v>
      </c>
      <c r="BJ9" s="12">
        <v>-0.017606</v>
      </c>
      <c r="BK9" s="12">
        <v>-0.011143</v>
      </c>
    </row>
    <row r="10" ht="17.1" customHeight="1" spans="1:63">
      <c r="A10" s="12" t="s">
        <v>25</v>
      </c>
      <c r="B10" s="12">
        <v>0.156583</v>
      </c>
      <c r="C10" s="12">
        <v>0.263252</v>
      </c>
      <c r="D10" s="12">
        <v>0.275847</v>
      </c>
      <c r="E10" s="12">
        <v>0.098837</v>
      </c>
      <c r="F10" s="12">
        <v>0.100004</v>
      </c>
      <c r="G10" s="12">
        <v>0.098765</v>
      </c>
      <c r="H10" s="12">
        <v>0.434406</v>
      </c>
      <c r="I10" s="12">
        <v>1.099831</v>
      </c>
      <c r="J10" s="12">
        <v>0.417305</v>
      </c>
      <c r="K10" s="12">
        <v>0.219394</v>
      </c>
      <c r="L10" s="12">
        <v>0.246309</v>
      </c>
      <c r="M10" s="12">
        <v>0.24979</v>
      </c>
      <c r="N10" s="12">
        <v>0.225846</v>
      </c>
      <c r="O10" s="12">
        <v>0.23803</v>
      </c>
      <c r="P10" s="12">
        <v>0.238532</v>
      </c>
      <c r="Q10" s="12">
        <v>0.259128</v>
      </c>
      <c r="R10" s="12">
        <v>0.270744</v>
      </c>
      <c r="S10" s="12">
        <v>0.266544</v>
      </c>
      <c r="T10" s="12">
        <v>0.235162</v>
      </c>
      <c r="U10" s="12">
        <v>0.225532</v>
      </c>
      <c r="V10" s="12">
        <v>0.178809</v>
      </c>
      <c r="W10" s="12">
        <v>-0.202255</v>
      </c>
      <c r="X10" s="12">
        <v>-0.213285</v>
      </c>
      <c r="Y10" s="12">
        <v>-0.204763</v>
      </c>
      <c r="Z10" s="12">
        <v>-0.207084</v>
      </c>
      <c r="AA10" s="12">
        <v>-0.205083</v>
      </c>
      <c r="AB10" s="12">
        <v>-0.201958</v>
      </c>
      <c r="AC10" s="12">
        <v>-0.19737</v>
      </c>
      <c r="AD10" s="12">
        <v>-0.200799</v>
      </c>
      <c r="AE10" s="12">
        <v>-0.194633</v>
      </c>
      <c r="AF10" s="12">
        <v>-0.198868</v>
      </c>
      <c r="AG10" s="12">
        <v>-0.188248</v>
      </c>
      <c r="AH10" s="12">
        <v>-0.170782</v>
      </c>
      <c r="AI10" s="12">
        <v>-0.191144</v>
      </c>
      <c r="AJ10" s="12">
        <v>-0.150773</v>
      </c>
      <c r="AK10" s="12">
        <v>-0.187082</v>
      </c>
      <c r="AL10" s="12">
        <v>-0.182895</v>
      </c>
      <c r="AM10" s="12">
        <v>-0.123508</v>
      </c>
      <c r="AN10" s="12">
        <v>-0.12824</v>
      </c>
      <c r="AO10" s="12">
        <v>-0.126963</v>
      </c>
      <c r="AP10" s="12">
        <v>-0.124244</v>
      </c>
      <c r="AQ10" s="12">
        <v>-0.135939</v>
      </c>
      <c r="AR10" s="12">
        <v>-0.137641</v>
      </c>
      <c r="AS10" s="12">
        <v>-0.142793</v>
      </c>
      <c r="AT10" s="12">
        <v>-0.132902</v>
      </c>
      <c r="AU10" s="12">
        <v>-0.133983</v>
      </c>
      <c r="AV10" s="12">
        <v>-0.146113</v>
      </c>
      <c r="AW10" s="12">
        <v>-0.136972</v>
      </c>
      <c r="AX10" s="12">
        <v>-0.141932</v>
      </c>
      <c r="AY10" s="12">
        <v>-0.135222</v>
      </c>
      <c r="AZ10" s="12">
        <v>-0.140026</v>
      </c>
      <c r="BA10" s="12">
        <v>-0.129882</v>
      </c>
      <c r="BB10" s="12">
        <v>-0.134868</v>
      </c>
      <c r="BC10" s="12">
        <v>-0.133124</v>
      </c>
      <c r="BD10" s="12">
        <v>-0.130448</v>
      </c>
      <c r="BE10" s="12">
        <v>-0.110091</v>
      </c>
      <c r="BF10" s="12">
        <v>-0.114761</v>
      </c>
      <c r="BG10" s="12">
        <v>-0.134333</v>
      </c>
      <c r="BH10" s="12">
        <v>-0.089451</v>
      </c>
      <c r="BI10" s="12">
        <v>-0.006223</v>
      </c>
      <c r="BJ10" s="12">
        <v>-0.008171</v>
      </c>
      <c r="BK10" s="12">
        <v>-0.005844</v>
      </c>
    </row>
    <row r="11" spans="1:63">
      <c r="A11" s="12" t="s">
        <v>27</v>
      </c>
      <c r="B11" s="12">
        <v>0.159948</v>
      </c>
      <c r="C11" s="12">
        <v>0.27591</v>
      </c>
      <c r="D11" s="12">
        <v>0.297594</v>
      </c>
      <c r="E11" s="12">
        <v>0.117761</v>
      </c>
      <c r="F11" s="12">
        <v>0.101965</v>
      </c>
      <c r="G11" s="12">
        <v>0.116397</v>
      </c>
      <c r="H11" s="12">
        <v>0.445279</v>
      </c>
      <c r="I11" s="12">
        <v>0.417305</v>
      </c>
      <c r="J11" s="12">
        <v>1.214579</v>
      </c>
      <c r="K11" s="12">
        <v>0.223091</v>
      </c>
      <c r="L11" s="12">
        <v>0.262134</v>
      </c>
      <c r="M11" s="12">
        <v>0.278148</v>
      </c>
      <c r="N11" s="12">
        <v>0.24191</v>
      </c>
      <c r="O11" s="12">
        <v>0.256336</v>
      </c>
      <c r="P11" s="12">
        <v>0.256721</v>
      </c>
      <c r="Q11" s="12">
        <v>0.290857</v>
      </c>
      <c r="R11" s="12">
        <v>0.288638</v>
      </c>
      <c r="S11" s="12">
        <v>0.279116</v>
      </c>
      <c r="T11" s="12">
        <v>0.257992</v>
      </c>
      <c r="U11" s="12">
        <v>0.239103</v>
      </c>
      <c r="V11" s="12">
        <v>0.191704</v>
      </c>
      <c r="W11" s="12">
        <v>-0.210549</v>
      </c>
      <c r="X11" s="12">
        <v>-0.219223</v>
      </c>
      <c r="Y11" s="12">
        <v>-0.212067</v>
      </c>
      <c r="Z11" s="12">
        <v>-0.212433</v>
      </c>
      <c r="AA11" s="12">
        <v>-0.210734</v>
      </c>
      <c r="AB11" s="12">
        <v>-0.209907</v>
      </c>
      <c r="AC11" s="12">
        <v>-0.206413</v>
      </c>
      <c r="AD11" s="12">
        <v>-0.209232</v>
      </c>
      <c r="AE11" s="12">
        <v>-0.201284</v>
      </c>
      <c r="AF11" s="12">
        <v>-0.203483</v>
      </c>
      <c r="AG11" s="12">
        <v>-0.197401</v>
      </c>
      <c r="AH11" s="12">
        <v>-0.182469</v>
      </c>
      <c r="AI11" s="12">
        <v>-0.201039</v>
      </c>
      <c r="AJ11" s="12">
        <v>-0.159691</v>
      </c>
      <c r="AK11" s="12">
        <v>-0.193297</v>
      </c>
      <c r="AL11" s="12">
        <v>-0.188663</v>
      </c>
      <c r="AM11" s="12">
        <v>-0.139097</v>
      </c>
      <c r="AN11" s="12">
        <v>-0.14329</v>
      </c>
      <c r="AO11" s="12">
        <v>-0.14152</v>
      </c>
      <c r="AP11" s="12">
        <v>-0.140169</v>
      </c>
      <c r="AQ11" s="12">
        <v>-0.149527</v>
      </c>
      <c r="AR11" s="12">
        <v>-0.149647</v>
      </c>
      <c r="AS11" s="12">
        <v>-0.155454</v>
      </c>
      <c r="AT11" s="12">
        <v>-0.14553</v>
      </c>
      <c r="AU11" s="12">
        <v>-0.146758</v>
      </c>
      <c r="AV11" s="12">
        <v>-0.156528</v>
      </c>
      <c r="AW11" s="12">
        <v>-0.148073</v>
      </c>
      <c r="AX11" s="12">
        <v>-0.151614</v>
      </c>
      <c r="AY11" s="12">
        <v>-0.145917</v>
      </c>
      <c r="AZ11" s="12">
        <v>-0.15239</v>
      </c>
      <c r="BA11" s="12">
        <v>-0.141321</v>
      </c>
      <c r="BB11" s="12">
        <v>-0.147996</v>
      </c>
      <c r="BC11" s="12">
        <v>-0.146383</v>
      </c>
      <c r="BD11" s="12">
        <v>-0.145134</v>
      </c>
      <c r="BE11" s="12">
        <v>-0.126204</v>
      </c>
      <c r="BF11" s="12">
        <v>-0.128589</v>
      </c>
      <c r="BG11" s="12">
        <v>-0.146759</v>
      </c>
      <c r="BH11" s="12">
        <v>-0.105483</v>
      </c>
      <c r="BI11" s="12">
        <v>-0.0131</v>
      </c>
      <c r="BJ11" s="12">
        <v>-0.017335</v>
      </c>
      <c r="BK11" s="12">
        <v>-0.01327</v>
      </c>
    </row>
    <row r="12" spans="1:63">
      <c r="A12" s="12" t="s">
        <v>29</v>
      </c>
      <c r="B12" s="12">
        <v>0.141033</v>
      </c>
      <c r="C12" s="12">
        <v>0.241229</v>
      </c>
      <c r="D12" s="12">
        <v>0.255087</v>
      </c>
      <c r="E12" s="12">
        <v>0.047756</v>
      </c>
      <c r="F12" s="12">
        <v>0.051989</v>
      </c>
      <c r="G12" s="12">
        <v>0.046486</v>
      </c>
      <c r="H12" s="12">
        <v>0.238505</v>
      </c>
      <c r="I12" s="12">
        <v>0.219394</v>
      </c>
      <c r="J12" s="12">
        <v>0.223091</v>
      </c>
      <c r="K12" s="12">
        <v>1.046273</v>
      </c>
      <c r="L12" s="12">
        <v>0.28644</v>
      </c>
      <c r="M12" s="12">
        <v>0.293624</v>
      </c>
      <c r="N12" s="12">
        <v>0.249711</v>
      </c>
      <c r="O12" s="12">
        <v>0.272973</v>
      </c>
      <c r="P12" s="12">
        <v>0.271163</v>
      </c>
      <c r="Q12" s="12">
        <v>0.241603</v>
      </c>
      <c r="R12" s="12">
        <v>0.245192</v>
      </c>
      <c r="S12" s="12">
        <v>0.233684</v>
      </c>
      <c r="T12" s="12">
        <v>0.243579</v>
      </c>
      <c r="U12" s="12">
        <v>0.239513</v>
      </c>
      <c r="V12" s="12">
        <v>0.201617</v>
      </c>
      <c r="W12" s="12">
        <v>-0.187606</v>
      </c>
      <c r="X12" s="12">
        <v>-0.199759</v>
      </c>
      <c r="Y12" s="12">
        <v>-0.192252</v>
      </c>
      <c r="Z12" s="12">
        <v>-0.194692</v>
      </c>
      <c r="AA12" s="12">
        <v>-0.192339</v>
      </c>
      <c r="AB12" s="12">
        <v>-0.18917</v>
      </c>
      <c r="AC12" s="12">
        <v>-0.186747</v>
      </c>
      <c r="AD12" s="12">
        <v>-0.186205</v>
      </c>
      <c r="AE12" s="12">
        <v>-0.180534</v>
      </c>
      <c r="AF12" s="12">
        <v>-0.185133</v>
      </c>
      <c r="AG12" s="12">
        <v>-0.175479</v>
      </c>
      <c r="AH12" s="12">
        <v>-0.159261</v>
      </c>
      <c r="AI12" s="12">
        <v>-0.178262</v>
      </c>
      <c r="AJ12" s="12">
        <v>-0.136813</v>
      </c>
      <c r="AK12" s="12">
        <v>-0.174761</v>
      </c>
      <c r="AL12" s="12">
        <v>-0.16958</v>
      </c>
      <c r="AM12" s="12">
        <v>-0.108485</v>
      </c>
      <c r="AN12" s="12">
        <v>-0.113432</v>
      </c>
      <c r="AO12" s="12">
        <v>-0.112318</v>
      </c>
      <c r="AP12" s="12">
        <v>-0.11095</v>
      </c>
      <c r="AQ12" s="12">
        <v>-0.121752</v>
      </c>
      <c r="AR12" s="12">
        <v>-0.124179</v>
      </c>
      <c r="AS12" s="12">
        <v>-0.130592</v>
      </c>
      <c r="AT12" s="12">
        <v>-0.118345</v>
      </c>
      <c r="AU12" s="12">
        <v>-0.119502</v>
      </c>
      <c r="AV12" s="12">
        <v>-0.132513</v>
      </c>
      <c r="AW12" s="12">
        <v>-0.124542</v>
      </c>
      <c r="AX12" s="12">
        <v>-0.133347</v>
      </c>
      <c r="AY12" s="12">
        <v>-0.122185</v>
      </c>
      <c r="AZ12" s="12">
        <v>-0.128341</v>
      </c>
      <c r="BA12" s="12">
        <v>-0.124849</v>
      </c>
      <c r="BB12" s="12">
        <v>-0.122549</v>
      </c>
      <c r="BC12" s="12">
        <v>-0.120049</v>
      </c>
      <c r="BD12" s="12">
        <v>-0.117373</v>
      </c>
      <c r="BE12" s="12">
        <v>-0.096414</v>
      </c>
      <c r="BF12" s="12">
        <v>-0.102052</v>
      </c>
      <c r="BG12" s="12">
        <v>-0.122932</v>
      </c>
      <c r="BH12" s="12">
        <v>-0.073884</v>
      </c>
      <c r="BI12" s="12">
        <v>0.003273</v>
      </c>
      <c r="BJ12" s="12">
        <v>0.00106</v>
      </c>
      <c r="BK12" s="12">
        <v>0.002984</v>
      </c>
    </row>
    <row r="13" spans="1:63">
      <c r="A13" s="12" t="s">
        <v>31</v>
      </c>
      <c r="B13" s="12">
        <v>0.161265</v>
      </c>
      <c r="C13" s="12">
        <v>0.267068</v>
      </c>
      <c r="D13" s="12">
        <v>0.28086</v>
      </c>
      <c r="E13" s="12">
        <v>0.055429</v>
      </c>
      <c r="F13" s="12">
        <v>0.050393</v>
      </c>
      <c r="G13" s="12">
        <v>0.054119</v>
      </c>
      <c r="H13" s="12">
        <v>0.274645</v>
      </c>
      <c r="I13" s="12">
        <v>0.246309</v>
      </c>
      <c r="J13" s="12">
        <v>0.262134</v>
      </c>
      <c r="K13" s="12">
        <v>0.28644</v>
      </c>
      <c r="L13" s="12">
        <v>1.134812</v>
      </c>
      <c r="M13" s="12">
        <v>0.327285</v>
      </c>
      <c r="N13" s="12">
        <v>0.279702</v>
      </c>
      <c r="O13" s="12">
        <v>0.300645</v>
      </c>
      <c r="P13" s="12">
        <v>0.306472</v>
      </c>
      <c r="Q13" s="12">
        <v>0.260564</v>
      </c>
      <c r="R13" s="12">
        <v>0.252359</v>
      </c>
      <c r="S13" s="12">
        <v>0.251554</v>
      </c>
      <c r="T13" s="12">
        <v>0.272172</v>
      </c>
      <c r="U13" s="12">
        <v>0.264459</v>
      </c>
      <c r="V13" s="12">
        <v>0.223942</v>
      </c>
      <c r="W13" s="12">
        <v>-0.198146</v>
      </c>
      <c r="X13" s="12">
        <v>-0.20979</v>
      </c>
      <c r="Y13" s="12">
        <v>-0.201855</v>
      </c>
      <c r="Z13" s="12">
        <v>-0.20515</v>
      </c>
      <c r="AA13" s="12">
        <v>-0.202565</v>
      </c>
      <c r="AB13" s="12">
        <v>-0.200386</v>
      </c>
      <c r="AC13" s="12">
        <v>-0.196137</v>
      </c>
      <c r="AD13" s="12">
        <v>-0.197562</v>
      </c>
      <c r="AE13" s="12">
        <v>-0.192333</v>
      </c>
      <c r="AF13" s="12">
        <v>-0.195282</v>
      </c>
      <c r="AG13" s="12">
        <v>-0.186844</v>
      </c>
      <c r="AH13" s="12">
        <v>-0.17145</v>
      </c>
      <c r="AI13" s="12">
        <v>-0.190033</v>
      </c>
      <c r="AJ13" s="12">
        <v>-0.151599</v>
      </c>
      <c r="AK13" s="12">
        <v>-0.185566</v>
      </c>
      <c r="AL13" s="12">
        <v>-0.180166</v>
      </c>
      <c r="AM13" s="12">
        <v>-0.126012</v>
      </c>
      <c r="AN13" s="12">
        <v>-0.130756</v>
      </c>
      <c r="AO13" s="12">
        <v>-0.130281</v>
      </c>
      <c r="AP13" s="12">
        <v>-0.127539</v>
      </c>
      <c r="AQ13" s="12">
        <v>-0.13922</v>
      </c>
      <c r="AR13" s="12">
        <v>-0.139103</v>
      </c>
      <c r="AS13" s="12">
        <v>-0.145725</v>
      </c>
      <c r="AT13" s="12">
        <v>-0.134936</v>
      </c>
      <c r="AU13" s="12">
        <v>-0.134851</v>
      </c>
      <c r="AV13" s="12">
        <v>-0.145981</v>
      </c>
      <c r="AW13" s="12">
        <v>-0.137698</v>
      </c>
      <c r="AX13" s="12">
        <v>-0.144299</v>
      </c>
      <c r="AY13" s="12">
        <v>-0.136355</v>
      </c>
      <c r="AZ13" s="12">
        <v>-0.142414</v>
      </c>
      <c r="BA13" s="12">
        <v>-0.13425</v>
      </c>
      <c r="BB13" s="12">
        <v>-0.137484</v>
      </c>
      <c r="BC13" s="12">
        <v>-0.13577</v>
      </c>
      <c r="BD13" s="12">
        <v>-0.133694</v>
      </c>
      <c r="BE13" s="12">
        <v>-0.114325</v>
      </c>
      <c r="BF13" s="12">
        <v>-0.117625</v>
      </c>
      <c r="BG13" s="12">
        <v>-0.136294</v>
      </c>
      <c r="BH13" s="12">
        <v>-0.092875</v>
      </c>
      <c r="BI13" s="12">
        <v>-0.003591</v>
      </c>
      <c r="BJ13" s="12">
        <v>-0.007822</v>
      </c>
      <c r="BK13" s="12">
        <v>-0.003041</v>
      </c>
    </row>
    <row r="14" spans="1:63">
      <c r="A14" s="12" t="s">
        <v>33</v>
      </c>
      <c r="B14" s="12">
        <v>0.15588</v>
      </c>
      <c r="C14" s="12">
        <v>0.28302</v>
      </c>
      <c r="D14" s="12">
        <v>0.31007</v>
      </c>
      <c r="E14" s="12">
        <v>0.071059</v>
      </c>
      <c r="F14" s="12">
        <v>0.060242</v>
      </c>
      <c r="G14" s="12">
        <v>0.069809</v>
      </c>
      <c r="H14" s="12">
        <v>0.273528</v>
      </c>
      <c r="I14" s="12">
        <v>0.24979</v>
      </c>
      <c r="J14" s="12">
        <v>0.278148</v>
      </c>
      <c r="K14" s="12">
        <v>0.293624</v>
      </c>
      <c r="L14" s="12">
        <v>0.327285</v>
      </c>
      <c r="M14" s="12">
        <v>1.138487</v>
      </c>
      <c r="N14" s="12">
        <v>0.297791</v>
      </c>
      <c r="O14" s="12">
        <v>0.320149</v>
      </c>
      <c r="P14" s="12">
        <v>0.317898</v>
      </c>
      <c r="Q14" s="12">
        <v>0.264149</v>
      </c>
      <c r="R14" s="12">
        <v>0.276288</v>
      </c>
      <c r="S14" s="12">
        <v>0.256388</v>
      </c>
      <c r="T14" s="12">
        <v>0.289382</v>
      </c>
      <c r="U14" s="12">
        <v>0.283965</v>
      </c>
      <c r="V14" s="12">
        <v>0.218151</v>
      </c>
      <c r="W14" s="12">
        <v>-0.200332</v>
      </c>
      <c r="X14" s="12">
        <v>-0.209931</v>
      </c>
      <c r="Y14" s="12">
        <v>-0.203661</v>
      </c>
      <c r="Z14" s="12">
        <v>-0.206078</v>
      </c>
      <c r="AA14" s="12">
        <v>-0.203148</v>
      </c>
      <c r="AB14" s="12">
        <v>-0.200383</v>
      </c>
      <c r="AC14" s="12">
        <v>-0.198026</v>
      </c>
      <c r="AD14" s="12">
        <v>-0.199875</v>
      </c>
      <c r="AE14" s="12">
        <v>-0.193147</v>
      </c>
      <c r="AF14" s="12">
        <v>-0.196538</v>
      </c>
      <c r="AG14" s="12">
        <v>-0.191117</v>
      </c>
      <c r="AH14" s="12">
        <v>-0.173332</v>
      </c>
      <c r="AI14" s="12">
        <v>-0.194338</v>
      </c>
      <c r="AJ14" s="12">
        <v>-0.155936</v>
      </c>
      <c r="AK14" s="12">
        <v>-0.186435</v>
      </c>
      <c r="AL14" s="12">
        <v>-0.183277</v>
      </c>
      <c r="AM14" s="12">
        <v>-0.136595</v>
      </c>
      <c r="AN14" s="12">
        <v>-0.141104</v>
      </c>
      <c r="AO14" s="12">
        <v>-0.139981</v>
      </c>
      <c r="AP14" s="12">
        <v>-0.136903</v>
      </c>
      <c r="AQ14" s="12">
        <v>-0.14693</v>
      </c>
      <c r="AR14" s="12">
        <v>-0.147964</v>
      </c>
      <c r="AS14" s="12">
        <v>-0.152999</v>
      </c>
      <c r="AT14" s="12">
        <v>-0.143389</v>
      </c>
      <c r="AU14" s="12">
        <v>-0.143505</v>
      </c>
      <c r="AV14" s="12">
        <v>-0.152289</v>
      </c>
      <c r="AW14" s="12">
        <v>-0.144773</v>
      </c>
      <c r="AX14" s="12">
        <v>-0.150858</v>
      </c>
      <c r="AY14" s="12">
        <v>-0.14248</v>
      </c>
      <c r="AZ14" s="12">
        <v>-0.148095</v>
      </c>
      <c r="BA14" s="12">
        <v>-0.146417</v>
      </c>
      <c r="BB14" s="12">
        <v>-0.143688</v>
      </c>
      <c r="BC14" s="12">
        <v>-0.142794</v>
      </c>
      <c r="BD14" s="12">
        <v>-0.140437</v>
      </c>
      <c r="BE14" s="12">
        <v>-0.123351</v>
      </c>
      <c r="BF14" s="12">
        <v>-0.126618</v>
      </c>
      <c r="BG14" s="12">
        <v>-0.143657</v>
      </c>
      <c r="BH14" s="12">
        <v>-0.103751</v>
      </c>
      <c r="BI14" s="12">
        <v>-0.006103</v>
      </c>
      <c r="BJ14" s="12">
        <v>-0.011673</v>
      </c>
      <c r="BK14" s="12">
        <v>-0.006645</v>
      </c>
    </row>
    <row r="15" ht="17.1" customHeight="1" spans="1:63">
      <c r="A15" s="12" t="s">
        <v>35</v>
      </c>
      <c r="B15" s="12">
        <v>0.14977</v>
      </c>
      <c r="C15" s="12">
        <v>0.251965</v>
      </c>
      <c r="D15" s="12">
        <v>0.267361</v>
      </c>
      <c r="E15" s="12">
        <v>0.050154</v>
      </c>
      <c r="F15" s="12">
        <v>0.047218</v>
      </c>
      <c r="G15" s="12">
        <v>0.050293</v>
      </c>
      <c r="H15" s="12">
        <v>0.259148</v>
      </c>
      <c r="I15" s="12">
        <v>0.225846</v>
      </c>
      <c r="J15" s="12">
        <v>0.24191</v>
      </c>
      <c r="K15" s="12">
        <v>0.249711</v>
      </c>
      <c r="L15" s="12">
        <v>0.279702</v>
      </c>
      <c r="M15" s="12">
        <v>0.297791</v>
      </c>
      <c r="N15" s="12">
        <v>1.123142</v>
      </c>
      <c r="O15" s="12">
        <v>0.369959</v>
      </c>
      <c r="P15" s="12">
        <v>0.349657</v>
      </c>
      <c r="Q15" s="12">
        <v>0.24789</v>
      </c>
      <c r="R15" s="12">
        <v>0.255444</v>
      </c>
      <c r="S15" s="12">
        <v>0.234236</v>
      </c>
      <c r="T15" s="12">
        <v>0.298312</v>
      </c>
      <c r="U15" s="12">
        <v>0.285126</v>
      </c>
      <c r="V15" s="12">
        <v>0.234438</v>
      </c>
      <c r="W15" s="12">
        <v>-0.198557</v>
      </c>
      <c r="X15" s="12">
        <v>-0.206524</v>
      </c>
      <c r="Y15" s="12">
        <v>-0.198534</v>
      </c>
      <c r="Z15" s="12">
        <v>-0.20268</v>
      </c>
      <c r="AA15" s="12">
        <v>-0.199119</v>
      </c>
      <c r="AB15" s="12">
        <v>-0.198028</v>
      </c>
      <c r="AC15" s="12">
        <v>-0.19512</v>
      </c>
      <c r="AD15" s="12">
        <v>-0.197762</v>
      </c>
      <c r="AE15" s="12">
        <v>-0.191285</v>
      </c>
      <c r="AF15" s="12">
        <v>-0.191881</v>
      </c>
      <c r="AG15" s="12">
        <v>-0.184489</v>
      </c>
      <c r="AH15" s="12">
        <v>-0.169843</v>
      </c>
      <c r="AI15" s="12">
        <v>-0.187195</v>
      </c>
      <c r="AJ15" s="12">
        <v>-0.149042</v>
      </c>
      <c r="AK15" s="12">
        <v>-0.181889</v>
      </c>
      <c r="AL15" s="12">
        <v>-0.176722</v>
      </c>
      <c r="AM15" s="12">
        <v>-0.127229</v>
      </c>
      <c r="AN15" s="12">
        <v>-0.131922</v>
      </c>
      <c r="AO15" s="12">
        <v>-0.130713</v>
      </c>
      <c r="AP15" s="12">
        <v>-0.128854</v>
      </c>
      <c r="AQ15" s="12">
        <v>-0.138492</v>
      </c>
      <c r="AR15" s="12">
        <v>-0.139471</v>
      </c>
      <c r="AS15" s="12">
        <v>-0.144972</v>
      </c>
      <c r="AT15" s="12">
        <v>-0.135163</v>
      </c>
      <c r="AU15" s="12">
        <v>-0.134998</v>
      </c>
      <c r="AV15" s="12">
        <v>-0.145575</v>
      </c>
      <c r="AW15" s="12">
        <v>-0.137394</v>
      </c>
      <c r="AX15" s="12">
        <v>-0.143031</v>
      </c>
      <c r="AY15" s="12">
        <v>-0.135173</v>
      </c>
      <c r="AZ15" s="12">
        <v>-0.141023</v>
      </c>
      <c r="BA15" s="12">
        <v>-0.132944</v>
      </c>
      <c r="BB15" s="12">
        <v>-0.136446</v>
      </c>
      <c r="BC15" s="12">
        <v>-0.135696</v>
      </c>
      <c r="BD15" s="12">
        <v>-0.132832</v>
      </c>
      <c r="BE15" s="12">
        <v>-0.114345</v>
      </c>
      <c r="BF15" s="12">
        <v>-0.117028</v>
      </c>
      <c r="BG15" s="12">
        <v>-0.135867</v>
      </c>
      <c r="BH15" s="12">
        <v>-0.093635</v>
      </c>
      <c r="BI15" s="12">
        <v>-0.000701</v>
      </c>
      <c r="BJ15" s="12">
        <v>-0.005622</v>
      </c>
      <c r="BK15" s="12">
        <v>-0.003053</v>
      </c>
    </row>
    <row r="16" spans="1:63">
      <c r="A16" s="12" t="s">
        <v>37</v>
      </c>
      <c r="B16" s="12">
        <v>0.149829</v>
      </c>
      <c r="C16" s="12">
        <v>0.278959</v>
      </c>
      <c r="D16" s="12">
        <v>0.286224</v>
      </c>
      <c r="E16" s="12">
        <v>0.059819</v>
      </c>
      <c r="F16" s="12">
        <v>0.044311</v>
      </c>
      <c r="G16" s="12">
        <v>0.058272</v>
      </c>
      <c r="H16" s="12">
        <v>0.268485</v>
      </c>
      <c r="I16" s="12">
        <v>0.23803</v>
      </c>
      <c r="J16" s="12">
        <v>0.256336</v>
      </c>
      <c r="K16" s="12">
        <v>0.272973</v>
      </c>
      <c r="L16" s="12">
        <v>0.300645</v>
      </c>
      <c r="M16" s="12">
        <v>0.320149</v>
      </c>
      <c r="N16" s="12">
        <v>0.369959</v>
      </c>
      <c r="O16" s="12">
        <v>1.196344</v>
      </c>
      <c r="P16" s="12">
        <v>0.390049</v>
      </c>
      <c r="Q16" s="12">
        <v>0.286523</v>
      </c>
      <c r="R16" s="12">
        <v>0.293815</v>
      </c>
      <c r="S16" s="12">
        <v>0.248296</v>
      </c>
      <c r="T16" s="12">
        <v>0.332334</v>
      </c>
      <c r="U16" s="12">
        <v>0.315394</v>
      </c>
      <c r="V16" s="12">
        <v>0.254694</v>
      </c>
      <c r="W16" s="12">
        <v>-0.204042</v>
      </c>
      <c r="X16" s="12">
        <v>-0.212154</v>
      </c>
      <c r="Y16" s="12">
        <v>-0.207221</v>
      </c>
      <c r="Z16" s="12">
        <v>-0.208759</v>
      </c>
      <c r="AA16" s="12">
        <v>-0.205807</v>
      </c>
      <c r="AB16" s="12">
        <v>-0.204483</v>
      </c>
      <c r="AC16" s="12">
        <v>-0.200479</v>
      </c>
      <c r="AD16" s="12">
        <v>-0.20415</v>
      </c>
      <c r="AE16" s="12">
        <v>-0.198547</v>
      </c>
      <c r="AF16" s="12">
        <v>-0.197873</v>
      </c>
      <c r="AG16" s="12">
        <v>-0.193906</v>
      </c>
      <c r="AH16" s="12">
        <v>-0.180581</v>
      </c>
      <c r="AI16" s="12">
        <v>-0.196281</v>
      </c>
      <c r="AJ16" s="12">
        <v>-0.160997</v>
      </c>
      <c r="AK16" s="12">
        <v>-0.189206</v>
      </c>
      <c r="AL16" s="12">
        <v>-0.185977</v>
      </c>
      <c r="AM16" s="12">
        <v>-0.144092</v>
      </c>
      <c r="AN16" s="12">
        <v>-0.148215</v>
      </c>
      <c r="AO16" s="12">
        <v>-0.146986</v>
      </c>
      <c r="AP16" s="12">
        <v>-0.145269</v>
      </c>
      <c r="AQ16" s="12">
        <v>-0.152205</v>
      </c>
      <c r="AR16" s="12">
        <v>-0.153796</v>
      </c>
      <c r="AS16" s="12">
        <v>-0.158137</v>
      </c>
      <c r="AT16" s="12">
        <v>-0.149444</v>
      </c>
      <c r="AU16" s="12">
        <v>-0.150939</v>
      </c>
      <c r="AV16" s="12">
        <v>-0.158111</v>
      </c>
      <c r="AW16" s="12">
        <v>-0.146128</v>
      </c>
      <c r="AX16" s="12">
        <v>-0.154028</v>
      </c>
      <c r="AY16" s="12">
        <v>-0.1427</v>
      </c>
      <c r="AZ16" s="12">
        <v>-0.153537</v>
      </c>
      <c r="BA16" s="12">
        <v>-0.153807</v>
      </c>
      <c r="BB16" s="12">
        <v>-0.149162</v>
      </c>
      <c r="BC16" s="12">
        <v>-0.150365</v>
      </c>
      <c r="BD16" s="12">
        <v>-0.148273</v>
      </c>
      <c r="BE16" s="12">
        <v>-0.130967</v>
      </c>
      <c r="BF16" s="12">
        <v>-0.132739</v>
      </c>
      <c r="BG16" s="12">
        <v>-0.148155</v>
      </c>
      <c r="BH16" s="12">
        <v>-0.112627</v>
      </c>
      <c r="BI16" s="12">
        <v>-0.008518</v>
      </c>
      <c r="BJ16" s="12">
        <v>-0.015527</v>
      </c>
      <c r="BK16" s="12">
        <v>-0.009575</v>
      </c>
    </row>
    <row r="17" spans="1:63">
      <c r="A17" s="12" t="s">
        <v>39</v>
      </c>
      <c r="B17" s="12">
        <v>0.152884</v>
      </c>
      <c r="C17" s="12">
        <v>0.266352</v>
      </c>
      <c r="D17" s="12">
        <v>0.281841</v>
      </c>
      <c r="E17" s="12">
        <v>0.065889</v>
      </c>
      <c r="F17" s="12">
        <v>0.047442</v>
      </c>
      <c r="G17" s="12">
        <v>0.063742</v>
      </c>
      <c r="H17" s="12">
        <v>0.273214</v>
      </c>
      <c r="I17" s="12">
        <v>0.238532</v>
      </c>
      <c r="J17" s="12">
        <v>0.256721</v>
      </c>
      <c r="K17" s="12">
        <v>0.271163</v>
      </c>
      <c r="L17" s="12">
        <v>0.306472</v>
      </c>
      <c r="M17" s="12">
        <v>0.317898</v>
      </c>
      <c r="N17" s="12">
        <v>0.349657</v>
      </c>
      <c r="O17" s="12">
        <v>0.390049</v>
      </c>
      <c r="P17" s="12">
        <v>1.233743</v>
      </c>
      <c r="Q17" s="12">
        <v>0.26571</v>
      </c>
      <c r="R17" s="12">
        <v>0.271591</v>
      </c>
      <c r="S17" s="12">
        <v>0.259617</v>
      </c>
      <c r="T17" s="12">
        <v>0.309721</v>
      </c>
      <c r="U17" s="12">
        <v>0.299936</v>
      </c>
      <c r="V17" s="12">
        <v>0.243859</v>
      </c>
      <c r="W17" s="12">
        <v>-0.203915</v>
      </c>
      <c r="X17" s="12">
        <v>-0.213086</v>
      </c>
      <c r="Y17" s="12">
        <v>-0.203029</v>
      </c>
      <c r="Z17" s="12">
        <v>-0.208944</v>
      </c>
      <c r="AA17" s="12">
        <v>-0.204983</v>
      </c>
      <c r="AB17" s="12">
        <v>-0.205646</v>
      </c>
      <c r="AC17" s="12">
        <v>-0.201157</v>
      </c>
      <c r="AD17" s="12">
        <v>-0.201703</v>
      </c>
      <c r="AE17" s="12">
        <v>-0.194921</v>
      </c>
      <c r="AF17" s="12">
        <v>-0.196837</v>
      </c>
      <c r="AG17" s="12">
        <v>-0.194107</v>
      </c>
      <c r="AH17" s="12">
        <v>-0.177362</v>
      </c>
      <c r="AI17" s="12">
        <v>-0.196177</v>
      </c>
      <c r="AJ17" s="12">
        <v>-0.158539</v>
      </c>
      <c r="AK17" s="12">
        <v>-0.187627</v>
      </c>
      <c r="AL17" s="12">
        <v>-0.181798</v>
      </c>
      <c r="AM17" s="12">
        <v>-0.143272</v>
      </c>
      <c r="AN17" s="12">
        <v>-0.147095</v>
      </c>
      <c r="AO17" s="12">
        <v>-0.145385</v>
      </c>
      <c r="AP17" s="12">
        <v>-0.144153</v>
      </c>
      <c r="AQ17" s="12">
        <v>-0.150959</v>
      </c>
      <c r="AR17" s="12">
        <v>-0.151393</v>
      </c>
      <c r="AS17" s="12">
        <v>-0.158249</v>
      </c>
      <c r="AT17" s="12">
        <v>-0.14548</v>
      </c>
      <c r="AU17" s="12">
        <v>-0.146242</v>
      </c>
      <c r="AV17" s="12">
        <v>-0.156417</v>
      </c>
      <c r="AW17" s="12">
        <v>-0.148977</v>
      </c>
      <c r="AX17" s="12">
        <v>-0.157425</v>
      </c>
      <c r="AY17" s="12">
        <v>-0.146275</v>
      </c>
      <c r="AZ17" s="12">
        <v>-0.153123</v>
      </c>
      <c r="BA17" s="12">
        <v>-0.15163</v>
      </c>
      <c r="BB17" s="12">
        <v>-0.148731</v>
      </c>
      <c r="BC17" s="12">
        <v>-0.148927</v>
      </c>
      <c r="BD17" s="12">
        <v>-0.146784</v>
      </c>
      <c r="BE17" s="12">
        <v>-0.130873</v>
      </c>
      <c r="BF17" s="12">
        <v>-0.132043</v>
      </c>
      <c r="BG17" s="12">
        <v>-0.147514</v>
      </c>
      <c r="BH17" s="12">
        <v>-0.109561</v>
      </c>
      <c r="BI17" s="12">
        <v>-0.005004</v>
      </c>
      <c r="BJ17" s="12">
        <v>-0.011459</v>
      </c>
      <c r="BK17" s="12">
        <v>-0.006563</v>
      </c>
    </row>
    <row r="18" spans="1:63">
      <c r="A18" s="12" t="s">
        <v>41</v>
      </c>
      <c r="B18" s="12">
        <v>0.139225</v>
      </c>
      <c r="C18" s="12">
        <v>0.247829</v>
      </c>
      <c r="D18" s="12">
        <v>0.25142</v>
      </c>
      <c r="E18" s="12">
        <v>0.082192</v>
      </c>
      <c r="F18" s="12">
        <v>0.070611</v>
      </c>
      <c r="G18" s="12">
        <v>0.081918</v>
      </c>
      <c r="H18" s="12">
        <v>0.283583</v>
      </c>
      <c r="I18" s="12">
        <v>0.259128</v>
      </c>
      <c r="J18" s="12">
        <v>0.290857</v>
      </c>
      <c r="K18" s="12">
        <v>0.241603</v>
      </c>
      <c r="L18" s="12">
        <v>0.260564</v>
      </c>
      <c r="M18" s="12">
        <v>0.264149</v>
      </c>
      <c r="N18" s="12">
        <v>0.24789</v>
      </c>
      <c r="O18" s="12">
        <v>0.286523</v>
      </c>
      <c r="P18" s="12">
        <v>0.26571</v>
      </c>
      <c r="Q18" s="12">
        <v>1.170267</v>
      </c>
      <c r="R18" s="12">
        <v>0.465543</v>
      </c>
      <c r="S18" s="12">
        <v>0.441582</v>
      </c>
      <c r="T18" s="12">
        <v>0.276113</v>
      </c>
      <c r="U18" s="12">
        <v>0.26304</v>
      </c>
      <c r="V18" s="12">
        <v>0.20897</v>
      </c>
      <c r="W18" s="12">
        <v>-0.207024</v>
      </c>
      <c r="X18" s="12">
        <v>-0.216079</v>
      </c>
      <c r="Y18" s="12">
        <v>-0.209057</v>
      </c>
      <c r="Z18" s="12">
        <v>-0.211885</v>
      </c>
      <c r="AA18" s="12">
        <v>-0.208612</v>
      </c>
      <c r="AB18" s="12">
        <v>-0.206278</v>
      </c>
      <c r="AC18" s="12">
        <v>-0.204572</v>
      </c>
      <c r="AD18" s="12">
        <v>-0.206929</v>
      </c>
      <c r="AE18" s="12">
        <v>-0.200955</v>
      </c>
      <c r="AF18" s="12">
        <v>-0.20391</v>
      </c>
      <c r="AG18" s="12">
        <v>-0.195725</v>
      </c>
      <c r="AH18" s="12">
        <v>-0.181421</v>
      </c>
      <c r="AI18" s="12">
        <v>-0.199211</v>
      </c>
      <c r="AJ18" s="12">
        <v>-0.158993</v>
      </c>
      <c r="AK18" s="12">
        <v>-0.192314</v>
      </c>
      <c r="AL18" s="12">
        <v>-0.188711</v>
      </c>
      <c r="AM18" s="12">
        <v>-0.136101</v>
      </c>
      <c r="AN18" s="12">
        <v>-0.139834</v>
      </c>
      <c r="AO18" s="12">
        <v>-0.138421</v>
      </c>
      <c r="AP18" s="12">
        <v>-0.137172</v>
      </c>
      <c r="AQ18" s="12">
        <v>-0.144352</v>
      </c>
      <c r="AR18" s="12">
        <v>-0.145377</v>
      </c>
      <c r="AS18" s="12">
        <v>-0.151165</v>
      </c>
      <c r="AT18" s="12">
        <v>-0.143341</v>
      </c>
      <c r="AU18" s="12">
        <v>-0.142971</v>
      </c>
      <c r="AV18" s="12">
        <v>-0.152574</v>
      </c>
      <c r="AW18" s="12">
        <v>-0.141692</v>
      </c>
      <c r="AX18" s="12">
        <v>-0.146092</v>
      </c>
      <c r="AY18" s="12">
        <v>-0.139608</v>
      </c>
      <c r="AZ18" s="12">
        <v>-0.149521</v>
      </c>
      <c r="BA18" s="12">
        <v>-0.147021</v>
      </c>
      <c r="BB18" s="12">
        <v>-0.14327</v>
      </c>
      <c r="BC18" s="12">
        <v>-0.143078</v>
      </c>
      <c r="BD18" s="12">
        <v>-0.141247</v>
      </c>
      <c r="BE18" s="12">
        <v>-0.122007</v>
      </c>
      <c r="BF18" s="12">
        <v>-0.125856</v>
      </c>
      <c r="BG18" s="12">
        <v>-0.141449</v>
      </c>
      <c r="BH18" s="12">
        <v>-0.102792</v>
      </c>
      <c r="BI18" s="12">
        <v>-0.007065</v>
      </c>
      <c r="BJ18" s="12">
        <v>-0.012005</v>
      </c>
      <c r="BK18" s="12">
        <v>-0.007559</v>
      </c>
    </row>
    <row r="19" spans="1:63">
      <c r="A19" s="12" t="s">
        <v>43</v>
      </c>
      <c r="B19" s="12">
        <v>0.137185</v>
      </c>
      <c r="C19" s="12">
        <v>0.250889</v>
      </c>
      <c r="D19" s="12">
        <v>0.26077</v>
      </c>
      <c r="E19" s="12">
        <v>0.073669</v>
      </c>
      <c r="F19" s="12">
        <v>0.064497</v>
      </c>
      <c r="G19" s="12">
        <v>0.073614</v>
      </c>
      <c r="H19" s="12">
        <v>0.298633</v>
      </c>
      <c r="I19" s="12">
        <v>0.270744</v>
      </c>
      <c r="J19" s="12">
        <v>0.288638</v>
      </c>
      <c r="K19" s="12">
        <v>0.245192</v>
      </c>
      <c r="L19" s="12">
        <v>0.252359</v>
      </c>
      <c r="M19" s="12">
        <v>0.276288</v>
      </c>
      <c r="N19" s="12">
        <v>0.255444</v>
      </c>
      <c r="O19" s="12">
        <v>0.293815</v>
      </c>
      <c r="P19" s="12">
        <v>0.271591</v>
      </c>
      <c r="Q19" s="12">
        <v>0.465543</v>
      </c>
      <c r="R19" s="12">
        <v>1.188496</v>
      </c>
      <c r="S19" s="12">
        <v>0.473635</v>
      </c>
      <c r="T19" s="12">
        <v>0.279642</v>
      </c>
      <c r="U19" s="12">
        <v>0.257999</v>
      </c>
      <c r="V19" s="12">
        <v>0.206173</v>
      </c>
      <c r="W19" s="12">
        <v>-0.206443</v>
      </c>
      <c r="X19" s="12">
        <v>-0.214333</v>
      </c>
      <c r="Y19" s="12">
        <v>-0.206694</v>
      </c>
      <c r="Z19" s="12">
        <v>-0.207984</v>
      </c>
      <c r="AA19" s="12">
        <v>-0.205726</v>
      </c>
      <c r="AB19" s="12">
        <v>-0.204671</v>
      </c>
      <c r="AC19" s="12">
        <v>-0.202</v>
      </c>
      <c r="AD19" s="12">
        <v>-0.202263</v>
      </c>
      <c r="AE19" s="12">
        <v>-0.196621</v>
      </c>
      <c r="AF19" s="12">
        <v>-0.197855</v>
      </c>
      <c r="AG19" s="12">
        <v>-0.192389</v>
      </c>
      <c r="AH19" s="12">
        <v>-0.178238</v>
      </c>
      <c r="AI19" s="12">
        <v>-0.194587</v>
      </c>
      <c r="AJ19" s="12">
        <v>-0.159114</v>
      </c>
      <c r="AK19" s="12">
        <v>-0.188318</v>
      </c>
      <c r="AL19" s="12">
        <v>-0.185293</v>
      </c>
      <c r="AM19" s="12">
        <v>-0.14311</v>
      </c>
      <c r="AN19" s="12">
        <v>-0.146493</v>
      </c>
      <c r="AO19" s="12">
        <v>-0.146528</v>
      </c>
      <c r="AP19" s="12">
        <v>-0.142892</v>
      </c>
      <c r="AQ19" s="12">
        <v>-0.152404</v>
      </c>
      <c r="AR19" s="12">
        <v>-0.151994</v>
      </c>
      <c r="AS19" s="12">
        <v>-0.157665</v>
      </c>
      <c r="AT19" s="12">
        <v>-0.145935</v>
      </c>
      <c r="AU19" s="12">
        <v>-0.146623</v>
      </c>
      <c r="AV19" s="12">
        <v>-0.156812</v>
      </c>
      <c r="AW19" s="12">
        <v>-0.15052</v>
      </c>
      <c r="AX19" s="12">
        <v>-0.156355</v>
      </c>
      <c r="AY19" s="12">
        <v>-0.1481</v>
      </c>
      <c r="AZ19" s="12">
        <v>-0.154897</v>
      </c>
      <c r="BA19" s="12">
        <v>-0.152182</v>
      </c>
      <c r="BB19" s="12">
        <v>-0.148938</v>
      </c>
      <c r="BC19" s="12">
        <v>-0.149407</v>
      </c>
      <c r="BD19" s="12">
        <v>-0.146752</v>
      </c>
      <c r="BE19" s="12">
        <v>-0.131297</v>
      </c>
      <c r="BF19" s="12">
        <v>-0.130401</v>
      </c>
      <c r="BG19" s="12">
        <v>-0.148412</v>
      </c>
      <c r="BH19" s="12">
        <v>-0.111057</v>
      </c>
      <c r="BI19" s="12">
        <v>-0.004473</v>
      </c>
      <c r="BJ19" s="12">
        <v>-0.011063</v>
      </c>
      <c r="BK19" s="12">
        <v>-0.006425</v>
      </c>
    </row>
    <row r="20" spans="1:63">
      <c r="A20" s="12" t="s">
        <v>45</v>
      </c>
      <c r="B20" s="12">
        <v>0.150765</v>
      </c>
      <c r="C20" s="12">
        <v>0.23876</v>
      </c>
      <c r="D20" s="12">
        <v>0.250439</v>
      </c>
      <c r="E20" s="12">
        <v>0.070755</v>
      </c>
      <c r="F20" s="12">
        <v>0.066997</v>
      </c>
      <c r="G20" s="12">
        <v>0.069499</v>
      </c>
      <c r="H20" s="12">
        <v>0.28255</v>
      </c>
      <c r="I20" s="12">
        <v>0.266544</v>
      </c>
      <c r="J20" s="12">
        <v>0.279116</v>
      </c>
      <c r="K20" s="12">
        <v>0.233684</v>
      </c>
      <c r="L20" s="12">
        <v>0.251554</v>
      </c>
      <c r="M20" s="12">
        <v>0.256388</v>
      </c>
      <c r="N20" s="12">
        <v>0.234236</v>
      </c>
      <c r="O20" s="12">
        <v>0.248296</v>
      </c>
      <c r="P20" s="12">
        <v>0.259617</v>
      </c>
      <c r="Q20" s="12">
        <v>0.441582</v>
      </c>
      <c r="R20" s="12">
        <v>0.473635</v>
      </c>
      <c r="S20" s="12">
        <v>1.166159</v>
      </c>
      <c r="T20" s="12">
        <v>0.255918</v>
      </c>
      <c r="U20" s="12">
        <v>0.247402</v>
      </c>
      <c r="V20" s="12">
        <v>0.197642</v>
      </c>
      <c r="W20" s="12">
        <v>-0.202343</v>
      </c>
      <c r="X20" s="12">
        <v>-0.213666</v>
      </c>
      <c r="Y20" s="12">
        <v>-0.205016</v>
      </c>
      <c r="Z20" s="12">
        <v>-0.206641</v>
      </c>
      <c r="AA20" s="12">
        <v>-0.20428</v>
      </c>
      <c r="AB20" s="12">
        <v>-0.202131</v>
      </c>
      <c r="AC20" s="12">
        <v>-0.200699</v>
      </c>
      <c r="AD20" s="12">
        <v>-0.199411</v>
      </c>
      <c r="AE20" s="12">
        <v>-0.193835</v>
      </c>
      <c r="AF20" s="12">
        <v>-0.197285</v>
      </c>
      <c r="AG20" s="12">
        <v>-0.188329</v>
      </c>
      <c r="AH20" s="12">
        <v>-0.174488</v>
      </c>
      <c r="AI20" s="12">
        <v>-0.190919</v>
      </c>
      <c r="AJ20" s="12">
        <v>-0.154839</v>
      </c>
      <c r="AK20" s="12">
        <v>-0.188133</v>
      </c>
      <c r="AL20" s="12">
        <v>-0.181729</v>
      </c>
      <c r="AM20" s="12">
        <v>-0.132316</v>
      </c>
      <c r="AN20" s="12">
        <v>-0.135488</v>
      </c>
      <c r="AO20" s="12">
        <v>-0.135824</v>
      </c>
      <c r="AP20" s="12">
        <v>-0.132412</v>
      </c>
      <c r="AQ20" s="12">
        <v>-0.141721</v>
      </c>
      <c r="AR20" s="12">
        <v>-0.142221</v>
      </c>
      <c r="AS20" s="12">
        <v>-0.147874</v>
      </c>
      <c r="AT20" s="12">
        <v>-0.13822</v>
      </c>
      <c r="AU20" s="12">
        <v>-0.13856</v>
      </c>
      <c r="AV20" s="12">
        <v>-0.148344</v>
      </c>
      <c r="AW20" s="12">
        <v>-0.143337</v>
      </c>
      <c r="AX20" s="12">
        <v>-0.150779</v>
      </c>
      <c r="AY20" s="12">
        <v>-0.141542</v>
      </c>
      <c r="AZ20" s="12">
        <v>-0.14605</v>
      </c>
      <c r="BA20" s="12">
        <v>-0.14361</v>
      </c>
      <c r="BB20" s="12">
        <v>-0.140106</v>
      </c>
      <c r="BC20" s="12">
        <v>-0.139567</v>
      </c>
      <c r="BD20" s="12">
        <v>-0.137929</v>
      </c>
      <c r="BE20" s="12">
        <v>-0.120131</v>
      </c>
      <c r="BF20" s="12">
        <v>-0.120397</v>
      </c>
      <c r="BG20" s="12">
        <v>-0.139962</v>
      </c>
      <c r="BH20" s="12">
        <v>-0.099654</v>
      </c>
      <c r="BI20" s="12">
        <v>-0.004686</v>
      </c>
      <c r="BJ20" s="12">
        <v>-0.008588</v>
      </c>
      <c r="BK20" s="12">
        <v>-0.004056</v>
      </c>
    </row>
    <row r="21" spans="1:63">
      <c r="A21" s="12" t="s">
        <v>47</v>
      </c>
      <c r="B21" s="12">
        <v>0.138121</v>
      </c>
      <c r="C21" s="12">
        <v>0.2418</v>
      </c>
      <c r="D21" s="12">
        <v>0.253534</v>
      </c>
      <c r="E21" s="12">
        <v>0.059583</v>
      </c>
      <c r="F21" s="12">
        <v>0.042253</v>
      </c>
      <c r="G21" s="12">
        <v>0.058618</v>
      </c>
      <c r="H21" s="12">
        <v>0.271573</v>
      </c>
      <c r="I21" s="12">
        <v>0.235162</v>
      </c>
      <c r="J21" s="12">
        <v>0.257992</v>
      </c>
      <c r="K21" s="12">
        <v>0.243579</v>
      </c>
      <c r="L21" s="12">
        <v>0.272172</v>
      </c>
      <c r="M21" s="12">
        <v>0.289382</v>
      </c>
      <c r="N21" s="12">
        <v>0.298312</v>
      </c>
      <c r="O21" s="12">
        <v>0.332334</v>
      </c>
      <c r="P21" s="12">
        <v>0.309721</v>
      </c>
      <c r="Q21" s="12">
        <v>0.276113</v>
      </c>
      <c r="R21" s="12">
        <v>0.279642</v>
      </c>
      <c r="S21" s="12">
        <v>0.255918</v>
      </c>
      <c r="T21" s="12">
        <v>1.183618</v>
      </c>
      <c r="U21" s="12">
        <v>0.4173</v>
      </c>
      <c r="V21" s="12">
        <v>0.336663</v>
      </c>
      <c r="W21" s="12">
        <v>-0.197831</v>
      </c>
      <c r="X21" s="12">
        <v>-0.203264</v>
      </c>
      <c r="Y21" s="12">
        <v>-0.200202</v>
      </c>
      <c r="Z21" s="12">
        <v>-0.200431</v>
      </c>
      <c r="AA21" s="12">
        <v>-0.19787</v>
      </c>
      <c r="AB21" s="12">
        <v>-0.195849</v>
      </c>
      <c r="AC21" s="12">
        <v>-0.192882</v>
      </c>
      <c r="AD21" s="12">
        <v>-0.197057</v>
      </c>
      <c r="AE21" s="12">
        <v>-0.1913</v>
      </c>
      <c r="AF21" s="12">
        <v>-0.192687</v>
      </c>
      <c r="AG21" s="12">
        <v>-0.187578</v>
      </c>
      <c r="AH21" s="12">
        <v>-0.177074</v>
      </c>
      <c r="AI21" s="12">
        <v>-0.190576</v>
      </c>
      <c r="AJ21" s="12">
        <v>-0.156675</v>
      </c>
      <c r="AK21" s="12">
        <v>-0.182434</v>
      </c>
      <c r="AL21" s="12">
        <v>-0.176126</v>
      </c>
      <c r="AM21" s="12">
        <v>-0.143501</v>
      </c>
      <c r="AN21" s="12">
        <v>-0.147532</v>
      </c>
      <c r="AO21" s="12">
        <v>-0.146948</v>
      </c>
      <c r="AP21" s="12">
        <v>-0.14458</v>
      </c>
      <c r="AQ21" s="12">
        <v>-0.150418</v>
      </c>
      <c r="AR21" s="12">
        <v>-0.151407</v>
      </c>
      <c r="AS21" s="12">
        <v>-0.155401</v>
      </c>
      <c r="AT21" s="12">
        <v>-0.14629</v>
      </c>
      <c r="AU21" s="12">
        <v>-0.146196</v>
      </c>
      <c r="AV21" s="12">
        <v>-0.153033</v>
      </c>
      <c r="AW21" s="12">
        <v>-0.145419</v>
      </c>
      <c r="AX21" s="12">
        <v>-0.14598</v>
      </c>
      <c r="AY21" s="12">
        <v>-0.142404</v>
      </c>
      <c r="AZ21" s="12">
        <v>-0.153461</v>
      </c>
      <c r="BA21" s="12">
        <v>-0.150041</v>
      </c>
      <c r="BB21" s="12">
        <v>-0.147031</v>
      </c>
      <c r="BC21" s="12">
        <v>-0.147443</v>
      </c>
      <c r="BD21" s="12">
        <v>-0.146006</v>
      </c>
      <c r="BE21" s="12">
        <v>-0.131444</v>
      </c>
      <c r="BF21" s="12">
        <v>-0.131354</v>
      </c>
      <c r="BG21" s="12">
        <v>-0.144931</v>
      </c>
      <c r="BH21" s="12">
        <v>-0.111937</v>
      </c>
      <c r="BI21" s="12">
        <v>0.001498</v>
      </c>
      <c r="BJ21" s="12">
        <v>-0.007947</v>
      </c>
      <c r="BK21" s="12">
        <v>0.00055</v>
      </c>
    </row>
    <row r="22" spans="1:63">
      <c r="A22" s="12" t="s">
        <v>49</v>
      </c>
      <c r="B22" s="12">
        <v>0.13784</v>
      </c>
      <c r="C22" s="12">
        <v>0.238945</v>
      </c>
      <c r="D22" s="12">
        <v>0.250294</v>
      </c>
      <c r="E22" s="12">
        <v>0.051846</v>
      </c>
      <c r="F22" s="12">
        <v>0.044025</v>
      </c>
      <c r="G22" s="12">
        <v>0.048372</v>
      </c>
      <c r="H22" s="12">
        <v>0.248346</v>
      </c>
      <c r="I22" s="12">
        <v>0.225532</v>
      </c>
      <c r="J22" s="12">
        <v>0.239103</v>
      </c>
      <c r="K22" s="12">
        <v>0.239513</v>
      </c>
      <c r="L22" s="12">
        <v>0.264459</v>
      </c>
      <c r="M22" s="12">
        <v>0.283965</v>
      </c>
      <c r="N22" s="12">
        <v>0.285126</v>
      </c>
      <c r="O22" s="12">
        <v>0.315394</v>
      </c>
      <c r="P22" s="12">
        <v>0.299936</v>
      </c>
      <c r="Q22" s="12">
        <v>0.26304</v>
      </c>
      <c r="R22" s="12">
        <v>0.257999</v>
      </c>
      <c r="S22" s="12">
        <v>0.247402</v>
      </c>
      <c r="T22" s="12">
        <v>0.4173</v>
      </c>
      <c r="U22" s="12">
        <v>1.1507</v>
      </c>
      <c r="V22" s="12">
        <v>0.328479</v>
      </c>
      <c r="W22" s="12">
        <v>-0.197537</v>
      </c>
      <c r="X22" s="12">
        <v>-0.205212</v>
      </c>
      <c r="Y22" s="12">
        <v>-0.198819</v>
      </c>
      <c r="Z22" s="12">
        <v>-0.20089</v>
      </c>
      <c r="AA22" s="12">
        <v>-0.19943</v>
      </c>
      <c r="AB22" s="12">
        <v>-0.196345</v>
      </c>
      <c r="AC22" s="12">
        <v>-0.19333</v>
      </c>
      <c r="AD22" s="12">
        <v>-0.196825</v>
      </c>
      <c r="AE22" s="12">
        <v>-0.191016</v>
      </c>
      <c r="AF22" s="12">
        <v>-0.193258</v>
      </c>
      <c r="AG22" s="12">
        <v>-0.185558</v>
      </c>
      <c r="AH22" s="12">
        <v>-0.173065</v>
      </c>
      <c r="AI22" s="12">
        <v>-0.188773</v>
      </c>
      <c r="AJ22" s="12">
        <v>-0.151063</v>
      </c>
      <c r="AK22" s="12">
        <v>-0.181667</v>
      </c>
      <c r="AL22" s="12">
        <v>-0.177773</v>
      </c>
      <c r="AM22" s="12">
        <v>-0.132369</v>
      </c>
      <c r="AN22" s="12">
        <v>-0.13663</v>
      </c>
      <c r="AO22" s="12">
        <v>-0.134631</v>
      </c>
      <c r="AP22" s="12">
        <v>-0.133379</v>
      </c>
      <c r="AQ22" s="12">
        <v>-0.142345</v>
      </c>
      <c r="AR22" s="12">
        <v>-0.142606</v>
      </c>
      <c r="AS22" s="12">
        <v>-0.148778</v>
      </c>
      <c r="AT22" s="12">
        <v>-0.13892</v>
      </c>
      <c r="AU22" s="12">
        <v>-0.140158</v>
      </c>
      <c r="AV22" s="12">
        <v>-0.146809</v>
      </c>
      <c r="AW22" s="12">
        <v>-0.138789</v>
      </c>
      <c r="AX22" s="12">
        <v>-0.140864</v>
      </c>
      <c r="AY22" s="12">
        <v>-0.136296</v>
      </c>
      <c r="AZ22" s="12">
        <v>-0.144903</v>
      </c>
      <c r="BA22" s="12">
        <v>-0.142532</v>
      </c>
      <c r="BB22" s="12">
        <v>-0.140087</v>
      </c>
      <c r="BC22" s="12">
        <v>-0.138415</v>
      </c>
      <c r="BD22" s="12">
        <v>-0.137713</v>
      </c>
      <c r="BE22" s="12">
        <v>-0.119761</v>
      </c>
      <c r="BF22" s="12">
        <v>-0.12275</v>
      </c>
      <c r="BG22" s="12">
        <v>-0.138318</v>
      </c>
      <c r="BH22" s="12">
        <v>-0.100585</v>
      </c>
      <c r="BI22" s="12">
        <v>0.00676</v>
      </c>
      <c r="BJ22" s="12">
        <v>0.000233</v>
      </c>
      <c r="BK22" s="12">
        <v>0.007529</v>
      </c>
    </row>
    <row r="23" spans="1:63">
      <c r="A23" s="12" t="s">
        <v>51</v>
      </c>
      <c r="B23" s="12">
        <v>0.119493</v>
      </c>
      <c r="C23" s="12">
        <v>0.195816</v>
      </c>
      <c r="D23" s="12">
        <v>0.204468</v>
      </c>
      <c r="E23" s="12">
        <v>0.024697</v>
      </c>
      <c r="F23" s="12">
        <v>0.037786</v>
      </c>
      <c r="G23" s="12">
        <v>0.024223</v>
      </c>
      <c r="H23" s="12">
        <v>0.200477</v>
      </c>
      <c r="I23" s="12">
        <v>0.178809</v>
      </c>
      <c r="J23" s="12">
        <v>0.191704</v>
      </c>
      <c r="K23" s="12">
        <v>0.201617</v>
      </c>
      <c r="L23" s="12">
        <v>0.223942</v>
      </c>
      <c r="M23" s="12">
        <v>0.218151</v>
      </c>
      <c r="N23" s="12">
        <v>0.234438</v>
      </c>
      <c r="O23" s="12">
        <v>0.254694</v>
      </c>
      <c r="P23" s="12">
        <v>0.243859</v>
      </c>
      <c r="Q23" s="12">
        <v>0.20897</v>
      </c>
      <c r="R23" s="12">
        <v>0.206173</v>
      </c>
      <c r="S23" s="12">
        <v>0.197642</v>
      </c>
      <c r="T23" s="12">
        <v>0.336663</v>
      </c>
      <c r="U23" s="12">
        <v>0.328479</v>
      </c>
      <c r="V23" s="12">
        <v>1.054981</v>
      </c>
      <c r="W23" s="12">
        <v>-0.182245</v>
      </c>
      <c r="X23" s="12">
        <v>-0.193318</v>
      </c>
      <c r="Y23" s="12">
        <v>-0.18619</v>
      </c>
      <c r="Z23" s="12">
        <v>-0.188621</v>
      </c>
      <c r="AA23" s="12">
        <v>-0.186499</v>
      </c>
      <c r="AB23" s="12">
        <v>-0.183219</v>
      </c>
      <c r="AC23" s="12">
        <v>-0.18111</v>
      </c>
      <c r="AD23" s="12">
        <v>-0.185759</v>
      </c>
      <c r="AE23" s="12">
        <v>-0.176751</v>
      </c>
      <c r="AF23" s="12">
        <v>-0.179629</v>
      </c>
      <c r="AG23" s="12">
        <v>-0.168591</v>
      </c>
      <c r="AH23" s="12">
        <v>-0.151231</v>
      </c>
      <c r="AI23" s="12">
        <v>-0.172172</v>
      </c>
      <c r="AJ23" s="12">
        <v>-0.127411</v>
      </c>
      <c r="AK23" s="12">
        <v>-0.16986</v>
      </c>
      <c r="AL23" s="12">
        <v>-0.165129</v>
      </c>
      <c r="AM23" s="12">
        <v>-0.093746</v>
      </c>
      <c r="AN23" s="12">
        <v>-0.099203</v>
      </c>
      <c r="AO23" s="12">
        <v>-0.097322</v>
      </c>
      <c r="AP23" s="12">
        <v>-0.096422</v>
      </c>
      <c r="AQ23" s="12">
        <v>-0.110075</v>
      </c>
      <c r="AR23" s="12">
        <v>-0.111027</v>
      </c>
      <c r="AS23" s="12">
        <v>-0.117508</v>
      </c>
      <c r="AT23" s="12">
        <v>-0.108906</v>
      </c>
      <c r="AU23" s="12">
        <v>-0.111036</v>
      </c>
      <c r="AV23" s="12">
        <v>-0.121293</v>
      </c>
      <c r="AW23" s="12">
        <v>-0.111936</v>
      </c>
      <c r="AX23" s="12">
        <v>-0.118368</v>
      </c>
      <c r="AY23" s="12">
        <v>-0.109142</v>
      </c>
      <c r="AZ23" s="12">
        <v>-0.115747</v>
      </c>
      <c r="BA23" s="12">
        <v>-0.113465</v>
      </c>
      <c r="BB23" s="12">
        <v>-0.111471</v>
      </c>
      <c r="BC23" s="12">
        <v>-0.106069</v>
      </c>
      <c r="BD23" s="12">
        <v>-0.104584</v>
      </c>
      <c r="BE23" s="12">
        <v>-0.080891</v>
      </c>
      <c r="BF23" s="12">
        <v>-0.088711</v>
      </c>
      <c r="BG23" s="12">
        <v>-0.110503</v>
      </c>
      <c r="BH23" s="12">
        <v>-0.059165</v>
      </c>
      <c r="BI23" s="12">
        <v>0.012122</v>
      </c>
      <c r="BJ23" s="12">
        <v>0.010949</v>
      </c>
      <c r="BK23" s="12">
        <v>0.013262</v>
      </c>
    </row>
    <row r="24" spans="1:63">
      <c r="A24" s="12" t="s">
        <v>54</v>
      </c>
      <c r="B24" s="12">
        <v>-0.148438</v>
      </c>
      <c r="C24" s="12">
        <v>-0.199078</v>
      </c>
      <c r="D24" s="12">
        <v>-0.202006</v>
      </c>
      <c r="E24" s="12">
        <v>-0.002443</v>
      </c>
      <c r="F24" s="12">
        <v>-0.063172</v>
      </c>
      <c r="G24" s="12">
        <v>-0.00285</v>
      </c>
      <c r="H24" s="12">
        <v>-0.210572</v>
      </c>
      <c r="I24" s="12">
        <v>-0.202255</v>
      </c>
      <c r="J24" s="12">
        <v>-0.210549</v>
      </c>
      <c r="K24" s="12">
        <v>-0.187606</v>
      </c>
      <c r="L24" s="12">
        <v>-0.198146</v>
      </c>
      <c r="M24" s="12">
        <v>-0.200332</v>
      </c>
      <c r="N24" s="12">
        <v>-0.198557</v>
      </c>
      <c r="O24" s="12">
        <v>-0.204042</v>
      </c>
      <c r="P24" s="12">
        <v>-0.203915</v>
      </c>
      <c r="Q24" s="12">
        <v>-0.207024</v>
      </c>
      <c r="R24" s="12">
        <v>-0.206443</v>
      </c>
      <c r="S24" s="12">
        <v>-0.202343</v>
      </c>
      <c r="T24" s="12">
        <v>-0.197831</v>
      </c>
      <c r="U24" s="12">
        <v>-0.197537</v>
      </c>
      <c r="V24" s="12">
        <v>-0.182245</v>
      </c>
      <c r="W24" s="12">
        <v>1.564908</v>
      </c>
      <c r="X24" s="12">
        <v>0.723374</v>
      </c>
      <c r="Y24" s="12">
        <v>0.485435</v>
      </c>
      <c r="Z24" s="12">
        <v>0.396125</v>
      </c>
      <c r="AA24" s="12">
        <v>0.434159</v>
      </c>
      <c r="AB24" s="12">
        <v>0.396243</v>
      </c>
      <c r="AC24" s="12">
        <v>0.398776</v>
      </c>
      <c r="AD24" s="12">
        <v>0.394193</v>
      </c>
      <c r="AE24" s="12">
        <v>0.37092</v>
      </c>
      <c r="AF24" s="12">
        <v>0.387234</v>
      </c>
      <c r="AG24" s="12">
        <v>0.299595</v>
      </c>
      <c r="AH24" s="12">
        <v>0.283694</v>
      </c>
      <c r="AI24" s="12">
        <v>0.308061</v>
      </c>
      <c r="AJ24" s="12">
        <v>0.196392</v>
      </c>
      <c r="AK24" s="12">
        <v>0.310443</v>
      </c>
      <c r="AL24" s="12">
        <v>0.321227</v>
      </c>
      <c r="AM24" s="12">
        <v>-0.164579</v>
      </c>
      <c r="AN24" s="12">
        <v>-0.169475</v>
      </c>
      <c r="AO24" s="12">
        <v>-0.167755</v>
      </c>
      <c r="AP24" s="12">
        <v>-0.166039</v>
      </c>
      <c r="AQ24" s="12">
        <v>-0.171894</v>
      </c>
      <c r="AR24" s="12">
        <v>-0.173772</v>
      </c>
      <c r="AS24" s="12">
        <v>-0.179045</v>
      </c>
      <c r="AT24" s="12">
        <v>-0.161521</v>
      </c>
      <c r="AU24" s="12">
        <v>-0.165152</v>
      </c>
      <c r="AV24" s="12">
        <v>-0.172977</v>
      </c>
      <c r="AW24" s="12">
        <v>-0.168121</v>
      </c>
      <c r="AX24" s="12">
        <v>-0.171135</v>
      </c>
      <c r="AY24" s="12">
        <v>-0.1662</v>
      </c>
      <c r="AZ24" s="12">
        <v>-0.171463</v>
      </c>
      <c r="BA24" s="12">
        <v>-0.170567</v>
      </c>
      <c r="BB24" s="12">
        <v>-0.163459</v>
      </c>
      <c r="BC24" s="12">
        <v>-0.17007</v>
      </c>
      <c r="BD24" s="12">
        <v>-0.170696</v>
      </c>
      <c r="BE24" s="12">
        <v>-0.156471</v>
      </c>
      <c r="BF24" s="12">
        <v>-0.154847</v>
      </c>
      <c r="BG24" s="12">
        <v>-0.166863</v>
      </c>
      <c r="BH24" s="12">
        <v>-0.132972</v>
      </c>
      <c r="BI24" s="12">
        <v>-0.100584</v>
      </c>
      <c r="BJ24" s="12">
        <v>-0.100347</v>
      </c>
      <c r="BK24" s="12">
        <v>-0.100214</v>
      </c>
    </row>
    <row r="25" spans="1:63">
      <c r="A25" s="12" t="s">
        <v>56</v>
      </c>
      <c r="B25" s="12">
        <v>-0.15651</v>
      </c>
      <c r="C25" s="12">
        <v>-0.20966</v>
      </c>
      <c r="D25" s="12">
        <v>-0.212574</v>
      </c>
      <c r="E25" s="12">
        <v>0.01853</v>
      </c>
      <c r="F25" s="12">
        <v>-0.060038</v>
      </c>
      <c r="G25" s="12">
        <v>0.019461</v>
      </c>
      <c r="H25" s="12">
        <v>-0.219809</v>
      </c>
      <c r="I25" s="12">
        <v>-0.213285</v>
      </c>
      <c r="J25" s="12">
        <v>-0.219223</v>
      </c>
      <c r="K25" s="12">
        <v>-0.199759</v>
      </c>
      <c r="L25" s="12">
        <v>-0.20979</v>
      </c>
      <c r="M25" s="12">
        <v>-0.209931</v>
      </c>
      <c r="N25" s="12">
        <v>-0.206524</v>
      </c>
      <c r="O25" s="12">
        <v>-0.212154</v>
      </c>
      <c r="P25" s="12">
        <v>-0.213086</v>
      </c>
      <c r="Q25" s="12">
        <v>-0.216079</v>
      </c>
      <c r="R25" s="12">
        <v>-0.214333</v>
      </c>
      <c r="S25" s="12">
        <v>-0.213666</v>
      </c>
      <c r="T25" s="12">
        <v>-0.203264</v>
      </c>
      <c r="U25" s="12">
        <v>-0.205212</v>
      </c>
      <c r="V25" s="12">
        <v>-0.193318</v>
      </c>
      <c r="W25" s="12">
        <v>0.723374</v>
      </c>
      <c r="X25" s="12">
        <v>1.613177</v>
      </c>
      <c r="Y25" s="12">
        <v>0.562667</v>
      </c>
      <c r="Z25" s="12">
        <v>0.427733</v>
      </c>
      <c r="AA25" s="12">
        <v>0.449913</v>
      </c>
      <c r="AB25" s="12">
        <v>0.430522</v>
      </c>
      <c r="AC25" s="12">
        <v>0.420545</v>
      </c>
      <c r="AD25" s="12">
        <v>0.416073</v>
      </c>
      <c r="AE25" s="12">
        <v>0.409677</v>
      </c>
      <c r="AF25" s="12">
        <v>0.422551</v>
      </c>
      <c r="AG25" s="12">
        <v>0.323824</v>
      </c>
      <c r="AH25" s="12">
        <v>0.297773</v>
      </c>
      <c r="AI25" s="12">
        <v>0.334248</v>
      </c>
      <c r="AJ25" s="12">
        <v>0.198402</v>
      </c>
      <c r="AK25" s="12">
        <v>0.325535</v>
      </c>
      <c r="AL25" s="12">
        <v>0.348623</v>
      </c>
      <c r="AM25" s="12">
        <v>-0.181062</v>
      </c>
      <c r="AN25" s="12">
        <v>-0.185615</v>
      </c>
      <c r="AO25" s="12">
        <v>-0.183717</v>
      </c>
      <c r="AP25" s="12">
        <v>-0.18159</v>
      </c>
      <c r="AQ25" s="12">
        <v>-0.185313</v>
      </c>
      <c r="AR25" s="12">
        <v>-0.186898</v>
      </c>
      <c r="AS25" s="12">
        <v>-0.192123</v>
      </c>
      <c r="AT25" s="12">
        <v>-0.17328</v>
      </c>
      <c r="AU25" s="12">
        <v>-0.17648</v>
      </c>
      <c r="AV25" s="12">
        <v>-0.183315</v>
      </c>
      <c r="AW25" s="12">
        <v>-0.177719</v>
      </c>
      <c r="AX25" s="12">
        <v>-0.177716</v>
      </c>
      <c r="AY25" s="12">
        <v>-0.177237</v>
      </c>
      <c r="AZ25" s="12">
        <v>-0.18352</v>
      </c>
      <c r="BA25" s="12">
        <v>-0.182196</v>
      </c>
      <c r="BB25" s="12">
        <v>-0.174178</v>
      </c>
      <c r="BC25" s="12">
        <v>-0.183215</v>
      </c>
      <c r="BD25" s="12">
        <v>-0.183996</v>
      </c>
      <c r="BE25" s="12">
        <v>-0.173283</v>
      </c>
      <c r="BF25" s="12">
        <v>-0.169725</v>
      </c>
      <c r="BG25" s="12">
        <v>-0.17917</v>
      </c>
      <c r="BH25" s="12">
        <v>-0.15104</v>
      </c>
      <c r="BI25" s="12">
        <v>-0.109331</v>
      </c>
      <c r="BJ25" s="12">
        <v>-0.111543</v>
      </c>
      <c r="BK25" s="12">
        <v>-0.110158</v>
      </c>
    </row>
    <row r="26" ht="17.1" customHeight="1" spans="1:63">
      <c r="A26" s="12" t="s">
        <v>58</v>
      </c>
      <c r="B26" s="12">
        <v>-0.151198</v>
      </c>
      <c r="C26" s="12">
        <v>-0.200972</v>
      </c>
      <c r="D26" s="12">
        <v>-0.205247</v>
      </c>
      <c r="E26" s="12">
        <v>0.0125</v>
      </c>
      <c r="F26" s="12">
        <v>-0.055409</v>
      </c>
      <c r="G26" s="12">
        <v>0.013704</v>
      </c>
      <c r="H26" s="12">
        <v>-0.212249</v>
      </c>
      <c r="I26" s="12">
        <v>-0.204763</v>
      </c>
      <c r="J26" s="12">
        <v>-0.212067</v>
      </c>
      <c r="K26" s="12">
        <v>-0.192252</v>
      </c>
      <c r="L26" s="12">
        <v>-0.201855</v>
      </c>
      <c r="M26" s="12">
        <v>-0.203661</v>
      </c>
      <c r="N26" s="12">
        <v>-0.198534</v>
      </c>
      <c r="O26" s="12">
        <v>-0.207221</v>
      </c>
      <c r="P26" s="12">
        <v>-0.203029</v>
      </c>
      <c r="Q26" s="12">
        <v>-0.209057</v>
      </c>
      <c r="R26" s="12">
        <v>-0.206694</v>
      </c>
      <c r="S26" s="12">
        <v>-0.205016</v>
      </c>
      <c r="T26" s="12">
        <v>-0.200202</v>
      </c>
      <c r="U26" s="12">
        <v>-0.198819</v>
      </c>
      <c r="V26" s="12">
        <v>-0.18619</v>
      </c>
      <c r="W26" s="12">
        <v>0.485435</v>
      </c>
      <c r="X26" s="12">
        <v>0.562667</v>
      </c>
      <c r="Y26" s="12">
        <v>1.583768</v>
      </c>
      <c r="Z26" s="12">
        <v>0.435442</v>
      </c>
      <c r="AA26" s="12">
        <v>0.433998</v>
      </c>
      <c r="AB26" s="12">
        <v>0.422126</v>
      </c>
      <c r="AC26" s="12">
        <v>0.453841</v>
      </c>
      <c r="AD26" s="12">
        <v>0.400922</v>
      </c>
      <c r="AE26" s="12">
        <v>0.422542</v>
      </c>
      <c r="AF26" s="12">
        <v>0.412463</v>
      </c>
      <c r="AG26" s="12">
        <v>0.315475</v>
      </c>
      <c r="AH26" s="12">
        <v>0.287768</v>
      </c>
      <c r="AI26" s="12">
        <v>0.327957</v>
      </c>
      <c r="AJ26" s="12">
        <v>0.202847</v>
      </c>
      <c r="AK26" s="12">
        <v>0.324238</v>
      </c>
      <c r="AL26" s="12">
        <v>0.331875</v>
      </c>
      <c r="AM26" s="12">
        <v>-0.171738</v>
      </c>
      <c r="AN26" s="12">
        <v>-0.176755</v>
      </c>
      <c r="AO26" s="12">
        <v>-0.173584</v>
      </c>
      <c r="AP26" s="12">
        <v>-0.174448</v>
      </c>
      <c r="AQ26" s="12">
        <v>-0.177264</v>
      </c>
      <c r="AR26" s="12">
        <v>-0.177714</v>
      </c>
      <c r="AS26" s="12">
        <v>-0.184068</v>
      </c>
      <c r="AT26" s="12">
        <v>-0.166317</v>
      </c>
      <c r="AU26" s="12">
        <v>-0.168885</v>
      </c>
      <c r="AV26" s="12">
        <v>-0.176197</v>
      </c>
      <c r="AW26" s="12">
        <v>-0.171311</v>
      </c>
      <c r="AX26" s="12">
        <v>-0.174749</v>
      </c>
      <c r="AY26" s="12">
        <v>-0.170417</v>
      </c>
      <c r="AZ26" s="12">
        <v>-0.175189</v>
      </c>
      <c r="BA26" s="12">
        <v>-0.174719</v>
      </c>
      <c r="BB26" s="12">
        <v>-0.166201</v>
      </c>
      <c r="BC26" s="12">
        <v>-0.175614</v>
      </c>
      <c r="BD26" s="12">
        <v>-0.175904</v>
      </c>
      <c r="BE26" s="12">
        <v>-0.163463</v>
      </c>
      <c r="BF26" s="12">
        <v>-0.160753</v>
      </c>
      <c r="BG26" s="12">
        <v>-0.17206</v>
      </c>
      <c r="BH26" s="12">
        <v>-0.140708</v>
      </c>
      <c r="BI26" s="12">
        <v>-0.102486</v>
      </c>
      <c r="BJ26" s="12">
        <v>-0.103694</v>
      </c>
      <c r="BK26" s="12">
        <v>-0.103883</v>
      </c>
    </row>
    <row r="27" spans="1:63">
      <c r="A27" s="12" t="s">
        <v>60</v>
      </c>
      <c r="B27" s="12">
        <v>-0.153054</v>
      </c>
      <c r="C27" s="12">
        <v>-0.204197</v>
      </c>
      <c r="D27" s="12">
        <v>-0.208618</v>
      </c>
      <c r="E27" s="12">
        <v>0.018151</v>
      </c>
      <c r="F27" s="12">
        <v>-0.059465</v>
      </c>
      <c r="G27" s="12">
        <v>0.018331</v>
      </c>
      <c r="H27" s="12">
        <v>-0.213697</v>
      </c>
      <c r="I27" s="12">
        <v>-0.207084</v>
      </c>
      <c r="J27" s="12">
        <v>-0.212433</v>
      </c>
      <c r="K27" s="12">
        <v>-0.194692</v>
      </c>
      <c r="L27" s="12">
        <v>-0.20515</v>
      </c>
      <c r="M27" s="12">
        <v>-0.206078</v>
      </c>
      <c r="N27" s="12">
        <v>-0.20268</v>
      </c>
      <c r="O27" s="12">
        <v>-0.208759</v>
      </c>
      <c r="P27" s="12">
        <v>-0.208944</v>
      </c>
      <c r="Q27" s="12">
        <v>-0.211885</v>
      </c>
      <c r="R27" s="12">
        <v>-0.207984</v>
      </c>
      <c r="S27" s="12">
        <v>-0.206641</v>
      </c>
      <c r="T27" s="12">
        <v>-0.200431</v>
      </c>
      <c r="U27" s="12">
        <v>-0.20089</v>
      </c>
      <c r="V27" s="12">
        <v>-0.188621</v>
      </c>
      <c r="W27" s="12">
        <v>0.396125</v>
      </c>
      <c r="X27" s="12">
        <v>0.427733</v>
      </c>
      <c r="Y27" s="12">
        <v>0.435442</v>
      </c>
      <c r="Z27" s="12">
        <v>1.565419</v>
      </c>
      <c r="AA27" s="12">
        <v>0.506993</v>
      </c>
      <c r="AB27" s="12">
        <v>0.720194</v>
      </c>
      <c r="AC27" s="12">
        <v>0.413638</v>
      </c>
      <c r="AD27" s="12">
        <v>0.409891</v>
      </c>
      <c r="AE27" s="12">
        <v>0.368968</v>
      </c>
      <c r="AF27" s="12">
        <v>0.398649</v>
      </c>
      <c r="AG27" s="12">
        <v>0.325664</v>
      </c>
      <c r="AH27" s="12">
        <v>0.305058</v>
      </c>
      <c r="AI27" s="12">
        <v>0.338571</v>
      </c>
      <c r="AJ27" s="12">
        <v>0.207971</v>
      </c>
      <c r="AK27" s="12">
        <v>0.33394</v>
      </c>
      <c r="AL27" s="12">
        <v>0.344804</v>
      </c>
      <c r="AM27" s="12">
        <v>-0.174777</v>
      </c>
      <c r="AN27" s="12">
        <v>-0.179053</v>
      </c>
      <c r="AO27" s="12">
        <v>-0.176352</v>
      </c>
      <c r="AP27" s="12">
        <v>-0.175866</v>
      </c>
      <c r="AQ27" s="12">
        <v>-0.180854</v>
      </c>
      <c r="AR27" s="12">
        <v>-0.182359</v>
      </c>
      <c r="AS27" s="12">
        <v>-0.186389</v>
      </c>
      <c r="AT27" s="12">
        <v>-0.170563</v>
      </c>
      <c r="AU27" s="12">
        <v>-0.171425</v>
      </c>
      <c r="AV27" s="12">
        <v>-0.18022</v>
      </c>
      <c r="AW27" s="12">
        <v>-0.170498</v>
      </c>
      <c r="AX27" s="12">
        <v>-0.174188</v>
      </c>
      <c r="AY27" s="12">
        <v>-0.171363</v>
      </c>
      <c r="AZ27" s="12">
        <v>-0.177876</v>
      </c>
      <c r="BA27" s="12">
        <v>-0.17593</v>
      </c>
      <c r="BB27" s="12">
        <v>-0.170542</v>
      </c>
      <c r="BC27" s="12">
        <v>-0.177933</v>
      </c>
      <c r="BD27" s="12">
        <v>-0.178893</v>
      </c>
      <c r="BE27" s="12">
        <v>-0.167801</v>
      </c>
      <c r="BF27" s="12">
        <v>-0.164769</v>
      </c>
      <c r="BG27" s="12">
        <v>-0.173592</v>
      </c>
      <c r="BH27" s="12">
        <v>-0.145954</v>
      </c>
      <c r="BI27" s="12">
        <v>-0.103914</v>
      </c>
      <c r="BJ27" s="12">
        <v>-0.106058</v>
      </c>
      <c r="BK27" s="12">
        <v>-0.105524</v>
      </c>
    </row>
    <row r="28" spans="1:63">
      <c r="A28" s="12" t="s">
        <v>62</v>
      </c>
      <c r="B28" s="12">
        <v>-0.150515</v>
      </c>
      <c r="C28" s="12">
        <v>-0.201006</v>
      </c>
      <c r="D28" s="12">
        <v>-0.202955</v>
      </c>
      <c r="E28" s="12">
        <v>0.023163</v>
      </c>
      <c r="F28" s="12">
        <v>-0.055156</v>
      </c>
      <c r="G28" s="12">
        <v>0.021732</v>
      </c>
      <c r="H28" s="12">
        <v>-0.211339</v>
      </c>
      <c r="I28" s="12">
        <v>-0.205083</v>
      </c>
      <c r="J28" s="12">
        <v>-0.210734</v>
      </c>
      <c r="K28" s="12">
        <v>-0.192339</v>
      </c>
      <c r="L28" s="12">
        <v>-0.202565</v>
      </c>
      <c r="M28" s="12">
        <v>-0.203148</v>
      </c>
      <c r="N28" s="12">
        <v>-0.199119</v>
      </c>
      <c r="O28" s="12">
        <v>-0.205807</v>
      </c>
      <c r="P28" s="12">
        <v>-0.204983</v>
      </c>
      <c r="Q28" s="12">
        <v>-0.208612</v>
      </c>
      <c r="R28" s="12">
        <v>-0.205726</v>
      </c>
      <c r="S28" s="12">
        <v>-0.20428</v>
      </c>
      <c r="T28" s="12">
        <v>-0.19787</v>
      </c>
      <c r="U28" s="12">
        <v>-0.19943</v>
      </c>
      <c r="V28" s="12">
        <v>-0.186499</v>
      </c>
      <c r="W28" s="12">
        <v>0.434159</v>
      </c>
      <c r="X28" s="12">
        <v>0.449913</v>
      </c>
      <c r="Y28" s="12">
        <v>0.433998</v>
      </c>
      <c r="Z28" s="12">
        <v>0.506993</v>
      </c>
      <c r="AA28" s="12">
        <v>1.596668</v>
      </c>
      <c r="AB28" s="12">
        <v>0.500057</v>
      </c>
      <c r="AC28" s="12">
        <v>0.407543</v>
      </c>
      <c r="AD28" s="12">
        <v>0.417071</v>
      </c>
      <c r="AE28" s="12">
        <v>0.369352</v>
      </c>
      <c r="AF28" s="12">
        <v>0.407785</v>
      </c>
      <c r="AG28" s="12">
        <v>0.319056</v>
      </c>
      <c r="AH28" s="12">
        <v>0.305206</v>
      </c>
      <c r="AI28" s="12">
        <v>0.329484</v>
      </c>
      <c r="AJ28" s="12">
        <v>0.224141</v>
      </c>
      <c r="AK28" s="12">
        <v>0.350846</v>
      </c>
      <c r="AL28" s="12">
        <v>0.347276</v>
      </c>
      <c r="AM28" s="12">
        <v>-0.17293</v>
      </c>
      <c r="AN28" s="12">
        <v>-0.178503</v>
      </c>
      <c r="AO28" s="12">
        <v>-0.176061</v>
      </c>
      <c r="AP28" s="12">
        <v>-0.175464</v>
      </c>
      <c r="AQ28" s="12">
        <v>-0.178723</v>
      </c>
      <c r="AR28" s="12">
        <v>-0.179374</v>
      </c>
      <c r="AS28" s="12">
        <v>-0.185183</v>
      </c>
      <c r="AT28" s="12">
        <v>-0.167703</v>
      </c>
      <c r="AU28" s="12">
        <v>-0.16944</v>
      </c>
      <c r="AV28" s="12">
        <v>-0.177399</v>
      </c>
      <c r="AW28" s="12">
        <v>-0.16966</v>
      </c>
      <c r="AX28" s="12">
        <v>-0.176252</v>
      </c>
      <c r="AY28" s="12">
        <v>-0.170997</v>
      </c>
      <c r="AZ28" s="12">
        <v>-0.176593</v>
      </c>
      <c r="BA28" s="12">
        <v>-0.17397</v>
      </c>
      <c r="BB28" s="12">
        <v>-0.168173</v>
      </c>
      <c r="BC28" s="12">
        <v>-0.176911</v>
      </c>
      <c r="BD28" s="12">
        <v>-0.177178</v>
      </c>
      <c r="BE28" s="12">
        <v>-0.166627</v>
      </c>
      <c r="BF28" s="12">
        <v>-0.163029</v>
      </c>
      <c r="BG28" s="12">
        <v>-0.171849</v>
      </c>
      <c r="BH28" s="12">
        <v>-0.144262</v>
      </c>
      <c r="BI28" s="12">
        <v>-0.10171</v>
      </c>
      <c r="BJ28" s="12">
        <v>-0.103627</v>
      </c>
      <c r="BK28" s="12">
        <v>-0.103857</v>
      </c>
    </row>
    <row r="29" spans="1:63">
      <c r="A29" s="12" t="s">
        <v>64</v>
      </c>
      <c r="B29" s="12">
        <v>-0.148451</v>
      </c>
      <c r="C29" s="12">
        <v>-0.19844</v>
      </c>
      <c r="D29" s="12">
        <v>-0.20318</v>
      </c>
      <c r="E29" s="12">
        <v>0.010445</v>
      </c>
      <c r="F29" s="12">
        <v>-0.057457</v>
      </c>
      <c r="G29" s="12">
        <v>0.009141</v>
      </c>
      <c r="H29" s="12">
        <v>-0.209398</v>
      </c>
      <c r="I29" s="12">
        <v>-0.201958</v>
      </c>
      <c r="J29" s="12">
        <v>-0.209907</v>
      </c>
      <c r="K29" s="12">
        <v>-0.18917</v>
      </c>
      <c r="L29" s="12">
        <v>-0.200386</v>
      </c>
      <c r="M29" s="12">
        <v>-0.200383</v>
      </c>
      <c r="N29" s="12">
        <v>-0.198028</v>
      </c>
      <c r="O29" s="12">
        <v>-0.204483</v>
      </c>
      <c r="P29" s="12">
        <v>-0.205646</v>
      </c>
      <c r="Q29" s="12">
        <v>-0.206278</v>
      </c>
      <c r="R29" s="12">
        <v>-0.204671</v>
      </c>
      <c r="S29" s="12">
        <v>-0.202131</v>
      </c>
      <c r="T29" s="12">
        <v>-0.195849</v>
      </c>
      <c r="U29" s="12">
        <v>-0.196345</v>
      </c>
      <c r="V29" s="12">
        <v>-0.183219</v>
      </c>
      <c r="W29" s="12">
        <v>0.396243</v>
      </c>
      <c r="X29" s="12">
        <v>0.430522</v>
      </c>
      <c r="Y29" s="12">
        <v>0.422126</v>
      </c>
      <c r="Z29" s="12">
        <v>0.720194</v>
      </c>
      <c r="AA29" s="12">
        <v>0.500057</v>
      </c>
      <c r="AB29" s="12">
        <v>1.549997</v>
      </c>
      <c r="AC29" s="12">
        <v>0.390597</v>
      </c>
      <c r="AD29" s="12">
        <v>0.393043</v>
      </c>
      <c r="AE29" s="12">
        <v>0.354683</v>
      </c>
      <c r="AF29" s="12">
        <v>0.370678</v>
      </c>
      <c r="AG29" s="12">
        <v>0.309102</v>
      </c>
      <c r="AH29" s="12">
        <v>0.29325</v>
      </c>
      <c r="AI29" s="12">
        <v>0.321154</v>
      </c>
      <c r="AJ29" s="12">
        <v>0.197954</v>
      </c>
      <c r="AK29" s="12">
        <v>0.316097</v>
      </c>
      <c r="AL29" s="12">
        <v>0.320832</v>
      </c>
      <c r="AM29" s="12">
        <v>-0.167314</v>
      </c>
      <c r="AN29" s="12">
        <v>-0.171964</v>
      </c>
      <c r="AO29" s="12">
        <v>-0.169559</v>
      </c>
      <c r="AP29" s="12">
        <v>-0.168147</v>
      </c>
      <c r="AQ29" s="12">
        <v>-0.17504</v>
      </c>
      <c r="AR29" s="12">
        <v>-0.175867</v>
      </c>
      <c r="AS29" s="12">
        <v>-0.181317</v>
      </c>
      <c r="AT29" s="12">
        <v>-0.164391</v>
      </c>
      <c r="AU29" s="12">
        <v>-0.166811</v>
      </c>
      <c r="AV29" s="12">
        <v>-0.173889</v>
      </c>
      <c r="AW29" s="12">
        <v>-0.167246</v>
      </c>
      <c r="AX29" s="12">
        <v>-0.170869</v>
      </c>
      <c r="AY29" s="12">
        <v>-0.166914</v>
      </c>
      <c r="AZ29" s="12">
        <v>-0.173544</v>
      </c>
      <c r="BA29" s="12">
        <v>-0.170793</v>
      </c>
      <c r="BB29" s="12">
        <v>-0.164271</v>
      </c>
      <c r="BC29" s="12">
        <v>-0.171891</v>
      </c>
      <c r="BD29" s="12">
        <v>-0.172579</v>
      </c>
      <c r="BE29" s="12">
        <v>-0.159506</v>
      </c>
      <c r="BF29" s="12">
        <v>-0.156999</v>
      </c>
      <c r="BG29" s="12">
        <v>-0.167782</v>
      </c>
      <c r="BH29" s="12">
        <v>-0.1371</v>
      </c>
      <c r="BI29" s="12">
        <v>-0.099851</v>
      </c>
      <c r="BJ29" s="12">
        <v>-0.101626</v>
      </c>
      <c r="BK29" s="12">
        <v>-0.100853</v>
      </c>
    </row>
    <row r="30" spans="1:63">
      <c r="A30" s="12" t="s">
        <v>66</v>
      </c>
      <c r="B30" s="12">
        <v>-0.145952</v>
      </c>
      <c r="C30" s="12">
        <v>-0.195355</v>
      </c>
      <c r="D30" s="12">
        <v>-0.200062</v>
      </c>
      <c r="E30" s="12">
        <v>0.016308</v>
      </c>
      <c r="F30" s="12">
        <v>-0.054656</v>
      </c>
      <c r="G30" s="12">
        <v>0.016252</v>
      </c>
      <c r="H30" s="12">
        <v>-0.205775</v>
      </c>
      <c r="I30" s="12">
        <v>-0.19737</v>
      </c>
      <c r="J30" s="12">
        <v>-0.206413</v>
      </c>
      <c r="K30" s="12">
        <v>-0.186747</v>
      </c>
      <c r="L30" s="12">
        <v>-0.196137</v>
      </c>
      <c r="M30" s="12">
        <v>-0.198026</v>
      </c>
      <c r="N30" s="12">
        <v>-0.19512</v>
      </c>
      <c r="O30" s="12">
        <v>-0.200479</v>
      </c>
      <c r="P30" s="12">
        <v>-0.201157</v>
      </c>
      <c r="Q30" s="12">
        <v>-0.204572</v>
      </c>
      <c r="R30" s="12">
        <v>-0.202</v>
      </c>
      <c r="S30" s="12">
        <v>-0.200699</v>
      </c>
      <c r="T30" s="12">
        <v>-0.192882</v>
      </c>
      <c r="U30" s="12">
        <v>-0.19333</v>
      </c>
      <c r="V30" s="12">
        <v>-0.18111</v>
      </c>
      <c r="W30" s="12">
        <v>0.398776</v>
      </c>
      <c r="X30" s="12">
        <v>0.420545</v>
      </c>
      <c r="Y30" s="12">
        <v>0.453841</v>
      </c>
      <c r="Z30" s="12">
        <v>0.413638</v>
      </c>
      <c r="AA30" s="12">
        <v>0.407543</v>
      </c>
      <c r="AB30" s="12">
        <v>0.390597</v>
      </c>
      <c r="AC30" s="12">
        <v>1.556652</v>
      </c>
      <c r="AD30" s="12">
        <v>0.441138</v>
      </c>
      <c r="AE30" s="12">
        <v>0.418515</v>
      </c>
      <c r="AF30" s="12">
        <v>0.430751</v>
      </c>
      <c r="AG30" s="12">
        <v>0.337797</v>
      </c>
      <c r="AH30" s="12">
        <v>0.314493</v>
      </c>
      <c r="AI30" s="12">
        <v>0.350851</v>
      </c>
      <c r="AJ30" s="12">
        <v>0.216692</v>
      </c>
      <c r="AK30" s="12">
        <v>0.340665</v>
      </c>
      <c r="AL30" s="12">
        <v>0.335363</v>
      </c>
      <c r="AM30" s="12">
        <v>-0.168429</v>
      </c>
      <c r="AN30" s="12">
        <v>-0.171781</v>
      </c>
      <c r="AO30" s="12">
        <v>-0.171373</v>
      </c>
      <c r="AP30" s="12">
        <v>-0.169713</v>
      </c>
      <c r="AQ30" s="12">
        <v>-0.173604</v>
      </c>
      <c r="AR30" s="12">
        <v>-0.174421</v>
      </c>
      <c r="AS30" s="12">
        <v>-0.179963</v>
      </c>
      <c r="AT30" s="12">
        <v>-0.163246</v>
      </c>
      <c r="AU30" s="12">
        <v>-0.165196</v>
      </c>
      <c r="AV30" s="12">
        <v>-0.172739</v>
      </c>
      <c r="AW30" s="12">
        <v>-0.166016</v>
      </c>
      <c r="AX30" s="12">
        <v>-0.171616</v>
      </c>
      <c r="AY30" s="12">
        <v>-0.166227</v>
      </c>
      <c r="AZ30" s="12">
        <v>-0.17265</v>
      </c>
      <c r="BA30" s="12">
        <v>-0.171885</v>
      </c>
      <c r="BB30" s="12">
        <v>-0.164841</v>
      </c>
      <c r="BC30" s="12">
        <v>-0.172102</v>
      </c>
      <c r="BD30" s="12">
        <v>-0.17304</v>
      </c>
      <c r="BE30" s="12">
        <v>-0.159929</v>
      </c>
      <c r="BF30" s="12">
        <v>-0.157899</v>
      </c>
      <c r="BG30" s="12">
        <v>-0.167466</v>
      </c>
      <c r="BH30" s="12">
        <v>-0.13902</v>
      </c>
      <c r="BI30" s="12">
        <v>-0.099322</v>
      </c>
      <c r="BJ30" s="12">
        <v>-0.100413</v>
      </c>
      <c r="BK30" s="12">
        <v>-0.100028</v>
      </c>
    </row>
    <row r="31" spans="1:63">
      <c r="A31" s="12" t="s">
        <v>68</v>
      </c>
      <c r="B31" s="12">
        <v>-0.146659</v>
      </c>
      <c r="C31" s="12">
        <v>-0.198497</v>
      </c>
      <c r="D31" s="12">
        <v>-0.202438</v>
      </c>
      <c r="E31" s="12">
        <v>0.014386</v>
      </c>
      <c r="F31" s="12">
        <v>-0.05343</v>
      </c>
      <c r="G31" s="12">
        <v>0.015948</v>
      </c>
      <c r="H31" s="12">
        <v>-0.209228</v>
      </c>
      <c r="I31" s="12">
        <v>-0.200799</v>
      </c>
      <c r="J31" s="12">
        <v>-0.209232</v>
      </c>
      <c r="K31" s="12">
        <v>-0.186205</v>
      </c>
      <c r="L31" s="12">
        <v>-0.197562</v>
      </c>
      <c r="M31" s="12">
        <v>-0.199875</v>
      </c>
      <c r="N31" s="12">
        <v>-0.197762</v>
      </c>
      <c r="O31" s="12">
        <v>-0.20415</v>
      </c>
      <c r="P31" s="12">
        <v>-0.201703</v>
      </c>
      <c r="Q31" s="12">
        <v>-0.206929</v>
      </c>
      <c r="R31" s="12">
        <v>-0.202263</v>
      </c>
      <c r="S31" s="12">
        <v>-0.199411</v>
      </c>
      <c r="T31" s="12">
        <v>-0.197057</v>
      </c>
      <c r="U31" s="12">
        <v>-0.196825</v>
      </c>
      <c r="V31" s="12">
        <v>-0.185759</v>
      </c>
      <c r="W31" s="12">
        <v>0.394193</v>
      </c>
      <c r="X31" s="12">
        <v>0.416073</v>
      </c>
      <c r="Y31" s="12">
        <v>0.400922</v>
      </c>
      <c r="Z31" s="12">
        <v>0.409891</v>
      </c>
      <c r="AA31" s="12">
        <v>0.417071</v>
      </c>
      <c r="AB31" s="12">
        <v>0.393043</v>
      </c>
      <c r="AC31" s="12">
        <v>0.441138</v>
      </c>
      <c r="AD31" s="12">
        <v>1.556393</v>
      </c>
      <c r="AE31" s="12">
        <v>0.43483</v>
      </c>
      <c r="AF31" s="12">
        <v>0.438545</v>
      </c>
      <c r="AG31" s="12">
        <v>0.356596</v>
      </c>
      <c r="AH31" s="12">
        <v>0.325485</v>
      </c>
      <c r="AI31" s="12">
        <v>0.370014</v>
      </c>
      <c r="AJ31" s="12">
        <v>0.217835</v>
      </c>
      <c r="AK31" s="12">
        <v>0.339395</v>
      </c>
      <c r="AL31" s="12">
        <v>0.338482</v>
      </c>
      <c r="AM31" s="12">
        <v>-0.167163</v>
      </c>
      <c r="AN31" s="12">
        <v>-0.172114</v>
      </c>
      <c r="AO31" s="12">
        <v>-0.171182</v>
      </c>
      <c r="AP31" s="12">
        <v>-0.169251</v>
      </c>
      <c r="AQ31" s="12">
        <v>-0.172815</v>
      </c>
      <c r="AR31" s="12">
        <v>-0.173136</v>
      </c>
      <c r="AS31" s="12">
        <v>-0.179115</v>
      </c>
      <c r="AT31" s="12">
        <v>-0.163213</v>
      </c>
      <c r="AU31" s="12">
        <v>-0.164863</v>
      </c>
      <c r="AV31" s="12">
        <v>-0.172481</v>
      </c>
      <c r="AW31" s="12">
        <v>-0.166841</v>
      </c>
      <c r="AX31" s="12">
        <v>-0.172369</v>
      </c>
      <c r="AY31" s="12">
        <v>-0.165589</v>
      </c>
      <c r="AZ31" s="12">
        <v>-0.172528</v>
      </c>
      <c r="BA31" s="12">
        <v>-0.172117</v>
      </c>
      <c r="BB31" s="12">
        <v>-0.16368</v>
      </c>
      <c r="BC31" s="12">
        <v>-0.171196</v>
      </c>
      <c r="BD31" s="12">
        <v>-0.172462</v>
      </c>
      <c r="BE31" s="12">
        <v>-0.159502</v>
      </c>
      <c r="BF31" s="12">
        <v>-0.158642</v>
      </c>
      <c r="BG31" s="12">
        <v>-0.166997</v>
      </c>
      <c r="BH31" s="12">
        <v>-0.138824</v>
      </c>
      <c r="BI31" s="12">
        <v>-0.098232</v>
      </c>
      <c r="BJ31" s="12">
        <v>-0.098738</v>
      </c>
      <c r="BK31" s="12">
        <v>-0.099719</v>
      </c>
    </row>
    <row r="32" spans="1:63">
      <c r="A32" s="12" t="s">
        <v>70</v>
      </c>
      <c r="B32" s="12">
        <v>-0.140827</v>
      </c>
      <c r="C32" s="12">
        <v>-0.191471</v>
      </c>
      <c r="D32" s="12">
        <v>-0.195962</v>
      </c>
      <c r="E32" s="12">
        <v>0.011085</v>
      </c>
      <c r="F32" s="12">
        <v>-0.050348</v>
      </c>
      <c r="G32" s="12">
        <v>0.011376</v>
      </c>
      <c r="H32" s="12">
        <v>-0.203615</v>
      </c>
      <c r="I32" s="12">
        <v>-0.194633</v>
      </c>
      <c r="J32" s="12">
        <v>-0.201284</v>
      </c>
      <c r="K32" s="12">
        <v>-0.180534</v>
      </c>
      <c r="L32" s="12">
        <v>-0.192333</v>
      </c>
      <c r="M32" s="12">
        <v>-0.193147</v>
      </c>
      <c r="N32" s="12">
        <v>-0.191285</v>
      </c>
      <c r="O32" s="12">
        <v>-0.198547</v>
      </c>
      <c r="P32" s="12">
        <v>-0.194921</v>
      </c>
      <c r="Q32" s="12">
        <v>-0.200955</v>
      </c>
      <c r="R32" s="12">
        <v>-0.196621</v>
      </c>
      <c r="S32" s="12">
        <v>-0.193835</v>
      </c>
      <c r="T32" s="12">
        <v>-0.1913</v>
      </c>
      <c r="U32" s="12">
        <v>-0.191016</v>
      </c>
      <c r="V32" s="12">
        <v>-0.176751</v>
      </c>
      <c r="W32" s="12">
        <v>0.37092</v>
      </c>
      <c r="X32" s="12">
        <v>0.409677</v>
      </c>
      <c r="Y32" s="12">
        <v>0.422542</v>
      </c>
      <c r="Z32" s="12">
        <v>0.368968</v>
      </c>
      <c r="AA32" s="12">
        <v>0.369352</v>
      </c>
      <c r="AB32" s="12">
        <v>0.354683</v>
      </c>
      <c r="AC32" s="12">
        <v>0.418515</v>
      </c>
      <c r="AD32" s="12">
        <v>0.43483</v>
      </c>
      <c r="AE32" s="12">
        <v>1.528395</v>
      </c>
      <c r="AF32" s="12">
        <v>0.440763</v>
      </c>
      <c r="AG32" s="12">
        <v>0.326767</v>
      </c>
      <c r="AH32" s="12">
        <v>0.302118</v>
      </c>
      <c r="AI32" s="12">
        <v>0.341996</v>
      </c>
      <c r="AJ32" s="12">
        <v>0.208184</v>
      </c>
      <c r="AK32" s="12">
        <v>0.319307</v>
      </c>
      <c r="AL32" s="12">
        <v>0.332304</v>
      </c>
      <c r="AM32" s="12">
        <v>-0.15767</v>
      </c>
      <c r="AN32" s="12">
        <v>-0.16238</v>
      </c>
      <c r="AO32" s="12">
        <v>-0.161078</v>
      </c>
      <c r="AP32" s="12">
        <v>-0.159111</v>
      </c>
      <c r="AQ32" s="12">
        <v>-0.164355</v>
      </c>
      <c r="AR32" s="12">
        <v>-0.166504</v>
      </c>
      <c r="AS32" s="12">
        <v>-0.171308</v>
      </c>
      <c r="AT32" s="12">
        <v>-0.155239</v>
      </c>
      <c r="AU32" s="12">
        <v>-0.156591</v>
      </c>
      <c r="AV32" s="12">
        <v>-0.164783</v>
      </c>
      <c r="AW32" s="12">
        <v>-0.15941</v>
      </c>
      <c r="AX32" s="12">
        <v>-0.162708</v>
      </c>
      <c r="AY32" s="12">
        <v>-0.159295</v>
      </c>
      <c r="AZ32" s="12">
        <v>-0.164923</v>
      </c>
      <c r="BA32" s="12">
        <v>-0.162122</v>
      </c>
      <c r="BB32" s="12">
        <v>-0.155596</v>
      </c>
      <c r="BC32" s="12">
        <v>-0.163009</v>
      </c>
      <c r="BD32" s="12">
        <v>-0.163446</v>
      </c>
      <c r="BE32" s="12">
        <v>-0.150306</v>
      </c>
      <c r="BF32" s="12">
        <v>-0.148392</v>
      </c>
      <c r="BG32" s="12">
        <v>-0.158948</v>
      </c>
      <c r="BH32" s="12">
        <v>-0.127805</v>
      </c>
      <c r="BI32" s="12">
        <v>-0.094023</v>
      </c>
      <c r="BJ32" s="12">
        <v>-0.09255</v>
      </c>
      <c r="BK32" s="12">
        <v>-0.094195</v>
      </c>
    </row>
    <row r="33" spans="1:63">
      <c r="A33" s="12" t="s">
        <v>72</v>
      </c>
      <c r="B33" s="12">
        <v>-0.143905</v>
      </c>
      <c r="C33" s="12">
        <v>-0.193</v>
      </c>
      <c r="D33" s="12">
        <v>-0.197319</v>
      </c>
      <c r="E33" s="12">
        <v>0.011773</v>
      </c>
      <c r="F33" s="12">
        <v>-0.056436</v>
      </c>
      <c r="G33" s="12">
        <v>0.011775</v>
      </c>
      <c r="H33" s="12">
        <v>-0.205814</v>
      </c>
      <c r="I33" s="12">
        <v>-0.198868</v>
      </c>
      <c r="J33" s="12">
        <v>-0.203483</v>
      </c>
      <c r="K33" s="12">
        <v>-0.185133</v>
      </c>
      <c r="L33" s="12">
        <v>-0.195282</v>
      </c>
      <c r="M33" s="12">
        <v>-0.196538</v>
      </c>
      <c r="N33" s="12">
        <v>-0.191881</v>
      </c>
      <c r="O33" s="12">
        <v>-0.197873</v>
      </c>
      <c r="P33" s="12">
        <v>-0.196837</v>
      </c>
      <c r="Q33" s="12">
        <v>-0.20391</v>
      </c>
      <c r="R33" s="12">
        <v>-0.197855</v>
      </c>
      <c r="S33" s="12">
        <v>-0.197285</v>
      </c>
      <c r="T33" s="12">
        <v>-0.192687</v>
      </c>
      <c r="U33" s="12">
        <v>-0.193258</v>
      </c>
      <c r="V33" s="12">
        <v>-0.179629</v>
      </c>
      <c r="W33" s="12">
        <v>0.387234</v>
      </c>
      <c r="X33" s="12">
        <v>0.422551</v>
      </c>
      <c r="Y33" s="12">
        <v>0.412463</v>
      </c>
      <c r="Z33" s="12">
        <v>0.398649</v>
      </c>
      <c r="AA33" s="12">
        <v>0.407785</v>
      </c>
      <c r="AB33" s="12">
        <v>0.370678</v>
      </c>
      <c r="AC33" s="12">
        <v>0.430751</v>
      </c>
      <c r="AD33" s="12">
        <v>0.438545</v>
      </c>
      <c r="AE33" s="12">
        <v>0.440763</v>
      </c>
      <c r="AF33" s="12">
        <v>1.55801</v>
      </c>
      <c r="AG33" s="12">
        <v>0.359345</v>
      </c>
      <c r="AH33" s="12">
        <v>0.323342</v>
      </c>
      <c r="AI33" s="12">
        <v>0.373116</v>
      </c>
      <c r="AJ33" s="12">
        <v>0.203112</v>
      </c>
      <c r="AK33" s="12">
        <v>0.322608</v>
      </c>
      <c r="AL33" s="12">
        <v>0.3507</v>
      </c>
      <c r="AM33" s="12">
        <v>-0.166843</v>
      </c>
      <c r="AN33" s="12">
        <v>-0.171607</v>
      </c>
      <c r="AO33" s="12">
        <v>-0.171044</v>
      </c>
      <c r="AP33" s="12">
        <v>-0.168685</v>
      </c>
      <c r="AQ33" s="12">
        <v>-0.173533</v>
      </c>
      <c r="AR33" s="12">
        <v>-0.176198</v>
      </c>
      <c r="AS33" s="12">
        <v>-0.180368</v>
      </c>
      <c r="AT33" s="12">
        <v>-0.162811</v>
      </c>
      <c r="AU33" s="12">
        <v>-0.164302</v>
      </c>
      <c r="AV33" s="12">
        <v>-0.173533</v>
      </c>
      <c r="AW33" s="12">
        <v>-0.166505</v>
      </c>
      <c r="AX33" s="12">
        <v>-0.17237</v>
      </c>
      <c r="AY33" s="12">
        <v>-0.166636</v>
      </c>
      <c r="AZ33" s="12">
        <v>-0.17383</v>
      </c>
      <c r="BA33" s="12">
        <v>-0.170634</v>
      </c>
      <c r="BB33" s="12">
        <v>-0.163663</v>
      </c>
      <c r="BC33" s="12">
        <v>-0.170673</v>
      </c>
      <c r="BD33" s="12">
        <v>-0.172761</v>
      </c>
      <c r="BE33" s="12">
        <v>-0.160376</v>
      </c>
      <c r="BF33" s="12">
        <v>-0.158697</v>
      </c>
      <c r="BG33" s="12">
        <v>-0.166735</v>
      </c>
      <c r="BH33" s="12">
        <v>-0.138284</v>
      </c>
      <c r="BI33" s="12">
        <v>-0.097311</v>
      </c>
      <c r="BJ33" s="12">
        <v>-0.098957</v>
      </c>
      <c r="BK33" s="12">
        <v>-0.0979</v>
      </c>
    </row>
    <row r="34" spans="1:63">
      <c r="A34" s="12" t="s">
        <v>74</v>
      </c>
      <c r="B34" s="12">
        <v>-0.135286</v>
      </c>
      <c r="C34" s="12">
        <v>-0.186541</v>
      </c>
      <c r="D34" s="12">
        <v>-0.191803</v>
      </c>
      <c r="E34" s="12">
        <v>0.00121</v>
      </c>
      <c r="F34" s="12">
        <v>-0.051418</v>
      </c>
      <c r="G34" s="12">
        <v>0.003745</v>
      </c>
      <c r="H34" s="12">
        <v>-0.197437</v>
      </c>
      <c r="I34" s="12">
        <v>-0.188248</v>
      </c>
      <c r="J34" s="12">
        <v>-0.197401</v>
      </c>
      <c r="K34" s="12">
        <v>-0.175479</v>
      </c>
      <c r="L34" s="12">
        <v>-0.186844</v>
      </c>
      <c r="M34" s="12">
        <v>-0.191117</v>
      </c>
      <c r="N34" s="12">
        <v>-0.184489</v>
      </c>
      <c r="O34" s="12">
        <v>-0.193906</v>
      </c>
      <c r="P34" s="12">
        <v>-0.194107</v>
      </c>
      <c r="Q34" s="12">
        <v>-0.195725</v>
      </c>
      <c r="R34" s="12">
        <v>-0.192389</v>
      </c>
      <c r="S34" s="12">
        <v>-0.188329</v>
      </c>
      <c r="T34" s="12">
        <v>-0.187578</v>
      </c>
      <c r="U34" s="12">
        <v>-0.185558</v>
      </c>
      <c r="V34" s="12">
        <v>-0.168591</v>
      </c>
      <c r="W34" s="12">
        <v>0.299595</v>
      </c>
      <c r="X34" s="12">
        <v>0.323824</v>
      </c>
      <c r="Y34" s="12">
        <v>0.315475</v>
      </c>
      <c r="Z34" s="12">
        <v>0.325664</v>
      </c>
      <c r="AA34" s="12">
        <v>0.319056</v>
      </c>
      <c r="AB34" s="12">
        <v>0.309102</v>
      </c>
      <c r="AC34" s="12">
        <v>0.337797</v>
      </c>
      <c r="AD34" s="12">
        <v>0.356596</v>
      </c>
      <c r="AE34" s="12">
        <v>0.326767</v>
      </c>
      <c r="AF34" s="12">
        <v>0.359345</v>
      </c>
      <c r="AG34" s="12">
        <v>1.425673</v>
      </c>
      <c r="AH34" s="12">
        <v>0.480175</v>
      </c>
      <c r="AI34" s="12">
        <v>0.797843</v>
      </c>
      <c r="AJ34" s="12">
        <v>0.172391</v>
      </c>
      <c r="AK34" s="12">
        <v>0.264316</v>
      </c>
      <c r="AL34" s="12">
        <v>0.285801</v>
      </c>
      <c r="AM34" s="12">
        <v>-0.148057</v>
      </c>
      <c r="AN34" s="12">
        <v>-0.151168</v>
      </c>
      <c r="AO34" s="12">
        <v>-0.150889</v>
      </c>
      <c r="AP34" s="12">
        <v>-0.148738</v>
      </c>
      <c r="AQ34" s="12">
        <v>-0.157007</v>
      </c>
      <c r="AR34" s="12">
        <v>-0.159069</v>
      </c>
      <c r="AS34" s="12">
        <v>-0.164066</v>
      </c>
      <c r="AT34" s="12">
        <v>-0.148553</v>
      </c>
      <c r="AU34" s="12">
        <v>-0.150799</v>
      </c>
      <c r="AV34" s="12">
        <v>-0.160179</v>
      </c>
      <c r="AW34" s="12">
        <v>-0.153936</v>
      </c>
      <c r="AX34" s="12">
        <v>-0.159067</v>
      </c>
      <c r="AY34" s="12">
        <v>-0.153568</v>
      </c>
      <c r="AZ34" s="12">
        <v>-0.158541</v>
      </c>
      <c r="BA34" s="12">
        <v>-0.155109</v>
      </c>
      <c r="BB34" s="12">
        <v>-0.148613</v>
      </c>
      <c r="BC34" s="12">
        <v>-0.154955</v>
      </c>
      <c r="BD34" s="12">
        <v>-0.154381</v>
      </c>
      <c r="BE34" s="12">
        <v>-0.138623</v>
      </c>
      <c r="BF34" s="12">
        <v>-0.138228</v>
      </c>
      <c r="BG34" s="12">
        <v>-0.152536</v>
      </c>
      <c r="BH34" s="12">
        <v>-0.115242</v>
      </c>
      <c r="BI34" s="12">
        <v>-0.088939</v>
      </c>
      <c r="BJ34" s="12">
        <v>-0.088534</v>
      </c>
      <c r="BK34" s="12">
        <v>-0.089424</v>
      </c>
    </row>
    <row r="35" spans="1:63">
      <c r="A35" s="12" t="s">
        <v>76</v>
      </c>
      <c r="B35" s="12">
        <v>-0.119857</v>
      </c>
      <c r="C35" s="12">
        <v>-0.169963</v>
      </c>
      <c r="D35" s="12">
        <v>-0.176404</v>
      </c>
      <c r="E35" s="12">
        <v>0.000395</v>
      </c>
      <c r="F35" s="12">
        <v>-0.035964</v>
      </c>
      <c r="G35" s="12">
        <v>0.000775</v>
      </c>
      <c r="H35" s="12">
        <v>-0.183465</v>
      </c>
      <c r="I35" s="12">
        <v>-0.170782</v>
      </c>
      <c r="J35" s="12">
        <v>-0.182469</v>
      </c>
      <c r="K35" s="12">
        <v>-0.159261</v>
      </c>
      <c r="L35" s="12">
        <v>-0.17145</v>
      </c>
      <c r="M35" s="12">
        <v>-0.173332</v>
      </c>
      <c r="N35" s="12">
        <v>-0.169843</v>
      </c>
      <c r="O35" s="12">
        <v>-0.180581</v>
      </c>
      <c r="P35" s="12">
        <v>-0.177362</v>
      </c>
      <c r="Q35" s="12">
        <v>-0.181421</v>
      </c>
      <c r="R35" s="12">
        <v>-0.178238</v>
      </c>
      <c r="S35" s="12">
        <v>-0.174488</v>
      </c>
      <c r="T35" s="12">
        <v>-0.177074</v>
      </c>
      <c r="U35" s="12">
        <v>-0.173065</v>
      </c>
      <c r="V35" s="12">
        <v>-0.151231</v>
      </c>
      <c r="W35" s="12">
        <v>0.283694</v>
      </c>
      <c r="X35" s="12">
        <v>0.297773</v>
      </c>
      <c r="Y35" s="12">
        <v>0.287768</v>
      </c>
      <c r="Z35" s="12">
        <v>0.305058</v>
      </c>
      <c r="AA35" s="12">
        <v>0.305206</v>
      </c>
      <c r="AB35" s="12">
        <v>0.29325</v>
      </c>
      <c r="AC35" s="12">
        <v>0.314493</v>
      </c>
      <c r="AD35" s="12">
        <v>0.325485</v>
      </c>
      <c r="AE35" s="12">
        <v>0.302118</v>
      </c>
      <c r="AF35" s="12">
        <v>0.323342</v>
      </c>
      <c r="AG35" s="12">
        <v>0.480175</v>
      </c>
      <c r="AH35" s="12">
        <v>1.278631</v>
      </c>
      <c r="AI35" s="12">
        <v>0.490418</v>
      </c>
      <c r="AJ35" s="12">
        <v>0.165598</v>
      </c>
      <c r="AK35" s="12">
        <v>0.235477</v>
      </c>
      <c r="AL35" s="12">
        <v>0.265513</v>
      </c>
      <c r="AM35" s="12">
        <v>-0.123293</v>
      </c>
      <c r="AN35" s="12">
        <v>-0.128039</v>
      </c>
      <c r="AO35" s="12">
        <v>-0.126961</v>
      </c>
      <c r="AP35" s="12">
        <v>-0.125195</v>
      </c>
      <c r="AQ35" s="12">
        <v>-0.135529</v>
      </c>
      <c r="AR35" s="12">
        <v>-0.138649</v>
      </c>
      <c r="AS35" s="12">
        <v>-0.144889</v>
      </c>
      <c r="AT35" s="12">
        <v>-0.129086</v>
      </c>
      <c r="AU35" s="12">
        <v>-0.130541</v>
      </c>
      <c r="AV35" s="12">
        <v>-0.143473</v>
      </c>
      <c r="AW35" s="12">
        <v>-0.13612</v>
      </c>
      <c r="AX35" s="12">
        <v>-0.142136</v>
      </c>
      <c r="AY35" s="12">
        <v>-0.136206</v>
      </c>
      <c r="AZ35" s="12">
        <v>-0.138739</v>
      </c>
      <c r="BA35" s="12">
        <v>-0.135627</v>
      </c>
      <c r="BB35" s="12">
        <v>-0.131233</v>
      </c>
      <c r="BC35" s="12">
        <v>-0.13395</v>
      </c>
      <c r="BD35" s="12">
        <v>-0.133428</v>
      </c>
      <c r="BE35" s="12">
        <v>-0.11311</v>
      </c>
      <c r="BF35" s="12">
        <v>-0.11677</v>
      </c>
      <c r="BG35" s="12">
        <v>-0.134326</v>
      </c>
      <c r="BH35" s="12">
        <v>-0.088803</v>
      </c>
      <c r="BI35" s="12">
        <v>-0.075579</v>
      </c>
      <c r="BJ35" s="12">
        <v>-0.071138</v>
      </c>
      <c r="BK35" s="12">
        <v>-0.07599</v>
      </c>
    </row>
    <row r="36" spans="1:63">
      <c r="A36" s="12" t="s">
        <v>78</v>
      </c>
      <c r="B36" s="12">
        <v>-0.139202</v>
      </c>
      <c r="C36" s="12">
        <v>-0.189472</v>
      </c>
      <c r="D36" s="12">
        <v>-0.193641</v>
      </c>
      <c r="E36" s="12">
        <v>0.004009</v>
      </c>
      <c r="F36" s="12">
        <v>-0.053122</v>
      </c>
      <c r="G36" s="12">
        <v>0.004779</v>
      </c>
      <c r="H36" s="12">
        <v>-0.199991</v>
      </c>
      <c r="I36" s="12">
        <v>-0.191144</v>
      </c>
      <c r="J36" s="12">
        <v>-0.201039</v>
      </c>
      <c r="K36" s="12">
        <v>-0.178262</v>
      </c>
      <c r="L36" s="12">
        <v>-0.190033</v>
      </c>
      <c r="M36" s="12">
        <v>-0.194338</v>
      </c>
      <c r="N36" s="12">
        <v>-0.187195</v>
      </c>
      <c r="O36" s="12">
        <v>-0.196281</v>
      </c>
      <c r="P36" s="12">
        <v>-0.196177</v>
      </c>
      <c r="Q36" s="12">
        <v>-0.199211</v>
      </c>
      <c r="R36" s="12">
        <v>-0.194587</v>
      </c>
      <c r="S36" s="12">
        <v>-0.190919</v>
      </c>
      <c r="T36" s="12">
        <v>-0.190576</v>
      </c>
      <c r="U36" s="12">
        <v>-0.188773</v>
      </c>
      <c r="V36" s="12">
        <v>-0.172172</v>
      </c>
      <c r="W36" s="12">
        <v>0.308061</v>
      </c>
      <c r="X36" s="12">
        <v>0.334248</v>
      </c>
      <c r="Y36" s="12">
        <v>0.327957</v>
      </c>
      <c r="Z36" s="12">
        <v>0.338571</v>
      </c>
      <c r="AA36" s="12">
        <v>0.329484</v>
      </c>
      <c r="AB36" s="12">
        <v>0.321154</v>
      </c>
      <c r="AC36" s="12">
        <v>0.350851</v>
      </c>
      <c r="AD36" s="12">
        <v>0.370014</v>
      </c>
      <c r="AE36" s="12">
        <v>0.341996</v>
      </c>
      <c r="AF36" s="12">
        <v>0.373116</v>
      </c>
      <c r="AG36" s="12">
        <v>0.797843</v>
      </c>
      <c r="AH36" s="12">
        <v>0.490418</v>
      </c>
      <c r="AI36" s="12">
        <v>1.437658</v>
      </c>
      <c r="AJ36" s="12">
        <v>0.179401</v>
      </c>
      <c r="AK36" s="12">
        <v>0.276694</v>
      </c>
      <c r="AL36" s="12">
        <v>0.298341</v>
      </c>
      <c r="AM36" s="12">
        <v>-0.153981</v>
      </c>
      <c r="AN36" s="12">
        <v>-0.157867</v>
      </c>
      <c r="AO36" s="12">
        <v>-0.157233</v>
      </c>
      <c r="AP36" s="12">
        <v>-0.155833</v>
      </c>
      <c r="AQ36" s="12">
        <v>-0.162747</v>
      </c>
      <c r="AR36" s="12">
        <v>-0.163662</v>
      </c>
      <c r="AS36" s="12">
        <v>-0.169143</v>
      </c>
      <c r="AT36" s="12">
        <v>-0.153414</v>
      </c>
      <c r="AU36" s="12">
        <v>-0.155538</v>
      </c>
      <c r="AV36" s="12">
        <v>-0.164241</v>
      </c>
      <c r="AW36" s="12">
        <v>-0.157289</v>
      </c>
      <c r="AX36" s="12">
        <v>-0.162588</v>
      </c>
      <c r="AY36" s="12">
        <v>-0.157918</v>
      </c>
      <c r="AZ36" s="12">
        <v>-0.162178</v>
      </c>
      <c r="BA36" s="12">
        <v>-0.159301</v>
      </c>
      <c r="BB36" s="12">
        <v>-0.152846</v>
      </c>
      <c r="BC36" s="12">
        <v>-0.160331</v>
      </c>
      <c r="BD36" s="12">
        <v>-0.160154</v>
      </c>
      <c r="BE36" s="12">
        <v>-0.144989</v>
      </c>
      <c r="BF36" s="12">
        <v>-0.143818</v>
      </c>
      <c r="BG36" s="12">
        <v>-0.156467</v>
      </c>
      <c r="BH36" s="12">
        <v>-0.12209</v>
      </c>
      <c r="BI36" s="12">
        <v>-0.092919</v>
      </c>
      <c r="BJ36" s="12">
        <v>-0.092194</v>
      </c>
      <c r="BK36" s="12">
        <v>-0.093334</v>
      </c>
    </row>
    <row r="37" spans="1:63">
      <c r="A37" s="12" t="s">
        <v>80</v>
      </c>
      <c r="B37" s="12">
        <v>-0.099279</v>
      </c>
      <c r="C37" s="12">
        <v>-0.149729</v>
      </c>
      <c r="D37" s="12">
        <v>-0.154941</v>
      </c>
      <c r="E37" s="12">
        <v>7.7e-5</v>
      </c>
      <c r="F37" s="12">
        <v>-0.025768</v>
      </c>
      <c r="G37" s="12">
        <v>-0.001199</v>
      </c>
      <c r="H37" s="12">
        <v>-0.164323</v>
      </c>
      <c r="I37" s="12">
        <v>-0.150773</v>
      </c>
      <c r="J37" s="12">
        <v>-0.159691</v>
      </c>
      <c r="K37" s="12">
        <v>-0.136813</v>
      </c>
      <c r="L37" s="12">
        <v>-0.151599</v>
      </c>
      <c r="M37" s="12">
        <v>-0.155936</v>
      </c>
      <c r="N37" s="12">
        <v>-0.149042</v>
      </c>
      <c r="O37" s="12">
        <v>-0.160997</v>
      </c>
      <c r="P37" s="12">
        <v>-0.158539</v>
      </c>
      <c r="Q37" s="12">
        <v>-0.158993</v>
      </c>
      <c r="R37" s="12">
        <v>-0.159114</v>
      </c>
      <c r="S37" s="12">
        <v>-0.154839</v>
      </c>
      <c r="T37" s="12">
        <v>-0.156675</v>
      </c>
      <c r="U37" s="12">
        <v>-0.151063</v>
      </c>
      <c r="V37" s="12">
        <v>-0.127411</v>
      </c>
      <c r="W37" s="12">
        <v>0.196392</v>
      </c>
      <c r="X37" s="12">
        <v>0.198402</v>
      </c>
      <c r="Y37" s="12">
        <v>0.202847</v>
      </c>
      <c r="Z37" s="12">
        <v>0.207971</v>
      </c>
      <c r="AA37" s="12">
        <v>0.224141</v>
      </c>
      <c r="AB37" s="12">
        <v>0.197954</v>
      </c>
      <c r="AC37" s="12">
        <v>0.216692</v>
      </c>
      <c r="AD37" s="12">
        <v>0.217835</v>
      </c>
      <c r="AE37" s="12">
        <v>0.208184</v>
      </c>
      <c r="AF37" s="12">
        <v>0.203112</v>
      </c>
      <c r="AG37" s="12">
        <v>0.172391</v>
      </c>
      <c r="AH37" s="12">
        <v>0.165598</v>
      </c>
      <c r="AI37" s="12">
        <v>0.179401</v>
      </c>
      <c r="AJ37" s="12">
        <v>1.279089</v>
      </c>
      <c r="AK37" s="12">
        <v>0.703965</v>
      </c>
      <c r="AL37" s="12">
        <v>0.323053</v>
      </c>
      <c r="AM37" s="12">
        <v>-0.093845</v>
      </c>
      <c r="AN37" s="12">
        <v>-0.098584</v>
      </c>
      <c r="AO37" s="12">
        <v>-0.097064</v>
      </c>
      <c r="AP37" s="12">
        <v>-0.094593</v>
      </c>
      <c r="AQ37" s="12">
        <v>-0.106504</v>
      </c>
      <c r="AR37" s="12">
        <v>-0.108951</v>
      </c>
      <c r="AS37" s="12">
        <v>-0.115822</v>
      </c>
      <c r="AT37" s="12">
        <v>-0.102634</v>
      </c>
      <c r="AU37" s="12">
        <v>-0.103217</v>
      </c>
      <c r="AV37" s="12">
        <v>-0.118265</v>
      </c>
      <c r="AW37" s="12">
        <v>-0.111443</v>
      </c>
      <c r="AX37" s="12">
        <v>-0.116011</v>
      </c>
      <c r="AY37" s="12">
        <v>-0.109755</v>
      </c>
      <c r="AZ37" s="12">
        <v>-0.114598</v>
      </c>
      <c r="BA37" s="12">
        <v>-0.111104</v>
      </c>
      <c r="BB37" s="12">
        <v>-0.105128</v>
      </c>
      <c r="BC37" s="12">
        <v>-0.104953</v>
      </c>
      <c r="BD37" s="12">
        <v>-0.104162</v>
      </c>
      <c r="BE37" s="12">
        <v>-0.082627</v>
      </c>
      <c r="BF37" s="12">
        <v>-0.087807</v>
      </c>
      <c r="BG37" s="12">
        <v>-0.107191</v>
      </c>
      <c r="BH37" s="12">
        <v>-0.055767</v>
      </c>
      <c r="BI37" s="12">
        <v>-0.050409</v>
      </c>
      <c r="BJ37" s="12">
        <v>-0.045618</v>
      </c>
      <c r="BK37" s="12">
        <v>-0.0503</v>
      </c>
    </row>
    <row r="38" spans="1:63">
      <c r="A38" s="12" t="s">
        <v>82</v>
      </c>
      <c r="B38" s="12">
        <v>-0.134728</v>
      </c>
      <c r="C38" s="12">
        <v>-0.185204</v>
      </c>
      <c r="D38" s="12">
        <v>-0.188764</v>
      </c>
      <c r="E38" s="12">
        <v>0.030118</v>
      </c>
      <c r="F38" s="12">
        <v>-0.041373</v>
      </c>
      <c r="G38" s="12">
        <v>0.029966</v>
      </c>
      <c r="H38" s="12">
        <v>-0.19615</v>
      </c>
      <c r="I38" s="12">
        <v>-0.187082</v>
      </c>
      <c r="J38" s="12">
        <v>-0.193297</v>
      </c>
      <c r="K38" s="12">
        <v>-0.174761</v>
      </c>
      <c r="L38" s="12">
        <v>-0.185566</v>
      </c>
      <c r="M38" s="12">
        <v>-0.186435</v>
      </c>
      <c r="N38" s="12">
        <v>-0.181889</v>
      </c>
      <c r="O38" s="12">
        <v>-0.189206</v>
      </c>
      <c r="P38" s="12">
        <v>-0.187627</v>
      </c>
      <c r="Q38" s="12">
        <v>-0.192314</v>
      </c>
      <c r="R38" s="12">
        <v>-0.188318</v>
      </c>
      <c r="S38" s="12">
        <v>-0.188133</v>
      </c>
      <c r="T38" s="12">
        <v>-0.182434</v>
      </c>
      <c r="U38" s="12">
        <v>-0.181667</v>
      </c>
      <c r="V38" s="12">
        <v>-0.16986</v>
      </c>
      <c r="W38" s="12">
        <v>0.310443</v>
      </c>
      <c r="X38" s="12">
        <v>0.325535</v>
      </c>
      <c r="Y38" s="12">
        <v>0.324238</v>
      </c>
      <c r="Z38" s="12">
        <v>0.33394</v>
      </c>
      <c r="AA38" s="12">
        <v>0.350846</v>
      </c>
      <c r="AB38" s="12">
        <v>0.316097</v>
      </c>
      <c r="AC38" s="12">
        <v>0.340665</v>
      </c>
      <c r="AD38" s="12">
        <v>0.339395</v>
      </c>
      <c r="AE38" s="12">
        <v>0.319307</v>
      </c>
      <c r="AF38" s="12">
        <v>0.322608</v>
      </c>
      <c r="AG38" s="12">
        <v>0.264316</v>
      </c>
      <c r="AH38" s="12">
        <v>0.235477</v>
      </c>
      <c r="AI38" s="12">
        <v>0.276694</v>
      </c>
      <c r="AJ38" s="12">
        <v>0.703965</v>
      </c>
      <c r="AK38" s="12">
        <v>1.474144</v>
      </c>
      <c r="AL38" s="12">
        <v>0.473962</v>
      </c>
      <c r="AM38" s="12">
        <v>-0.157221</v>
      </c>
      <c r="AN38" s="12">
        <v>-0.160388</v>
      </c>
      <c r="AO38" s="12">
        <v>-0.159986</v>
      </c>
      <c r="AP38" s="12">
        <v>-0.157439</v>
      </c>
      <c r="AQ38" s="12">
        <v>-0.160403</v>
      </c>
      <c r="AR38" s="12">
        <v>-0.161396</v>
      </c>
      <c r="AS38" s="12">
        <v>-0.166245</v>
      </c>
      <c r="AT38" s="12">
        <v>-0.150233</v>
      </c>
      <c r="AU38" s="12">
        <v>-0.151547</v>
      </c>
      <c r="AV38" s="12">
        <v>-0.160226</v>
      </c>
      <c r="AW38" s="12">
        <v>-0.152973</v>
      </c>
      <c r="AX38" s="12">
        <v>-0.154803</v>
      </c>
      <c r="AY38" s="12">
        <v>-0.153668</v>
      </c>
      <c r="AZ38" s="12">
        <v>-0.160806</v>
      </c>
      <c r="BA38" s="12">
        <v>-0.157851</v>
      </c>
      <c r="BB38" s="12">
        <v>-0.149945</v>
      </c>
      <c r="BC38" s="12">
        <v>-0.159135</v>
      </c>
      <c r="BD38" s="12">
        <v>-0.159542</v>
      </c>
      <c r="BE38" s="12">
        <v>-0.148203</v>
      </c>
      <c r="BF38" s="12">
        <v>-0.146052</v>
      </c>
      <c r="BG38" s="12">
        <v>-0.153222</v>
      </c>
      <c r="BH38" s="12">
        <v>-0.12729</v>
      </c>
      <c r="BI38" s="12">
        <v>-0.085464</v>
      </c>
      <c r="BJ38" s="12">
        <v>-0.08758</v>
      </c>
      <c r="BK38" s="12">
        <v>-0.08693</v>
      </c>
    </row>
    <row r="39" spans="1:63">
      <c r="A39" s="12" t="s">
        <v>84</v>
      </c>
      <c r="B39" s="12">
        <v>-0.130353</v>
      </c>
      <c r="C39" s="12">
        <v>-0.180238</v>
      </c>
      <c r="D39" s="12">
        <v>-0.183452</v>
      </c>
      <c r="E39" s="12">
        <v>0.040298</v>
      </c>
      <c r="F39" s="12">
        <v>-0.03015</v>
      </c>
      <c r="G39" s="12">
        <v>0.041756</v>
      </c>
      <c r="H39" s="12">
        <v>-0.189699</v>
      </c>
      <c r="I39" s="12">
        <v>-0.182895</v>
      </c>
      <c r="J39" s="12">
        <v>-0.188663</v>
      </c>
      <c r="K39" s="12">
        <v>-0.16958</v>
      </c>
      <c r="L39" s="12">
        <v>-0.180166</v>
      </c>
      <c r="M39" s="12">
        <v>-0.183277</v>
      </c>
      <c r="N39" s="12">
        <v>-0.176722</v>
      </c>
      <c r="O39" s="12">
        <v>-0.185977</v>
      </c>
      <c r="P39" s="12">
        <v>-0.181798</v>
      </c>
      <c r="Q39" s="12">
        <v>-0.188711</v>
      </c>
      <c r="R39" s="12">
        <v>-0.185293</v>
      </c>
      <c r="S39" s="12">
        <v>-0.181729</v>
      </c>
      <c r="T39" s="12">
        <v>-0.176126</v>
      </c>
      <c r="U39" s="12">
        <v>-0.177773</v>
      </c>
      <c r="V39" s="12">
        <v>-0.165129</v>
      </c>
      <c r="W39" s="12">
        <v>0.321227</v>
      </c>
      <c r="X39" s="12">
        <v>0.348623</v>
      </c>
      <c r="Y39" s="12">
        <v>0.331875</v>
      </c>
      <c r="Z39" s="12">
        <v>0.344804</v>
      </c>
      <c r="AA39" s="12">
        <v>0.347276</v>
      </c>
      <c r="AB39" s="12">
        <v>0.320832</v>
      </c>
      <c r="AC39" s="12">
        <v>0.335363</v>
      </c>
      <c r="AD39" s="12">
        <v>0.338482</v>
      </c>
      <c r="AE39" s="12">
        <v>0.332304</v>
      </c>
      <c r="AF39" s="12">
        <v>0.3507</v>
      </c>
      <c r="AG39" s="12">
        <v>0.285801</v>
      </c>
      <c r="AH39" s="12">
        <v>0.265513</v>
      </c>
      <c r="AI39" s="12">
        <v>0.298341</v>
      </c>
      <c r="AJ39" s="12">
        <v>0.323053</v>
      </c>
      <c r="AK39" s="12">
        <v>0.473962</v>
      </c>
      <c r="AL39" s="12">
        <v>1.4785</v>
      </c>
      <c r="AM39" s="12">
        <v>-0.153395</v>
      </c>
      <c r="AN39" s="12">
        <v>-0.157892</v>
      </c>
      <c r="AO39" s="12">
        <v>-0.156648</v>
      </c>
      <c r="AP39" s="12">
        <v>-0.155074</v>
      </c>
      <c r="AQ39" s="12">
        <v>-0.157923</v>
      </c>
      <c r="AR39" s="12">
        <v>-0.157394</v>
      </c>
      <c r="AS39" s="12">
        <v>-0.163434</v>
      </c>
      <c r="AT39" s="12">
        <v>-0.148707</v>
      </c>
      <c r="AU39" s="12">
        <v>-0.148273</v>
      </c>
      <c r="AV39" s="12">
        <v>-0.157724</v>
      </c>
      <c r="AW39" s="12">
        <v>-0.149902</v>
      </c>
      <c r="AX39" s="12">
        <v>-0.148063</v>
      </c>
      <c r="AY39" s="12">
        <v>-0.150351</v>
      </c>
      <c r="AZ39" s="12">
        <v>-0.157174</v>
      </c>
      <c r="BA39" s="12">
        <v>-0.153746</v>
      </c>
      <c r="BB39" s="12">
        <v>-0.148243</v>
      </c>
      <c r="BC39" s="12">
        <v>-0.157019</v>
      </c>
      <c r="BD39" s="12">
        <v>-0.156579</v>
      </c>
      <c r="BE39" s="12">
        <v>-0.145159</v>
      </c>
      <c r="BF39" s="12">
        <v>-0.141695</v>
      </c>
      <c r="BG39" s="12">
        <v>-0.150395</v>
      </c>
      <c r="BH39" s="12">
        <v>-0.124116</v>
      </c>
      <c r="BI39" s="12">
        <v>-0.083274</v>
      </c>
      <c r="BJ39" s="12">
        <v>-0.084223</v>
      </c>
      <c r="BK39" s="12">
        <v>-0.084838</v>
      </c>
    </row>
    <row r="40" spans="1:63">
      <c r="A40" s="12" t="s">
        <v>87</v>
      </c>
      <c r="B40" s="12">
        <v>-0.071135</v>
      </c>
      <c r="C40" s="12">
        <v>-0.127243</v>
      </c>
      <c r="D40" s="12">
        <v>-0.132251</v>
      </c>
      <c r="E40" s="12">
        <v>-0.158696</v>
      </c>
      <c r="F40" s="12">
        <v>-0.087064</v>
      </c>
      <c r="G40" s="12">
        <v>-0.157424</v>
      </c>
      <c r="H40" s="12">
        <v>-0.142217</v>
      </c>
      <c r="I40" s="12">
        <v>-0.123508</v>
      </c>
      <c r="J40" s="12">
        <v>-0.139097</v>
      </c>
      <c r="K40" s="12">
        <v>-0.108485</v>
      </c>
      <c r="L40" s="12">
        <v>-0.126012</v>
      </c>
      <c r="M40" s="12">
        <v>-0.136595</v>
      </c>
      <c r="N40" s="12">
        <v>-0.127229</v>
      </c>
      <c r="O40" s="12">
        <v>-0.144092</v>
      </c>
      <c r="P40" s="12">
        <v>-0.143272</v>
      </c>
      <c r="Q40" s="12">
        <v>-0.136101</v>
      </c>
      <c r="R40" s="12">
        <v>-0.14311</v>
      </c>
      <c r="S40" s="12">
        <v>-0.132316</v>
      </c>
      <c r="T40" s="12">
        <v>-0.143501</v>
      </c>
      <c r="U40" s="12">
        <v>-0.132369</v>
      </c>
      <c r="V40" s="12">
        <v>-0.093746</v>
      </c>
      <c r="W40" s="12">
        <v>-0.164579</v>
      </c>
      <c r="X40" s="12">
        <v>-0.181062</v>
      </c>
      <c r="Y40" s="12">
        <v>-0.171738</v>
      </c>
      <c r="Z40" s="12">
        <v>-0.174777</v>
      </c>
      <c r="AA40" s="12">
        <v>-0.17293</v>
      </c>
      <c r="AB40" s="12">
        <v>-0.167314</v>
      </c>
      <c r="AC40" s="12">
        <v>-0.168429</v>
      </c>
      <c r="AD40" s="12">
        <v>-0.167163</v>
      </c>
      <c r="AE40" s="12">
        <v>-0.15767</v>
      </c>
      <c r="AF40" s="12">
        <v>-0.166843</v>
      </c>
      <c r="AG40" s="12">
        <v>-0.148057</v>
      </c>
      <c r="AH40" s="12">
        <v>-0.123293</v>
      </c>
      <c r="AI40" s="12">
        <v>-0.153981</v>
      </c>
      <c r="AJ40" s="12">
        <v>-0.093845</v>
      </c>
      <c r="AK40" s="12">
        <v>-0.157221</v>
      </c>
      <c r="AL40" s="12">
        <v>-0.153395</v>
      </c>
      <c r="AM40" s="12">
        <v>0.986862</v>
      </c>
      <c r="AN40" s="12">
        <v>0.424386</v>
      </c>
      <c r="AO40" s="12">
        <v>0.458902</v>
      </c>
      <c r="AP40" s="12">
        <v>0.399776</v>
      </c>
      <c r="AQ40" s="12">
        <v>0.180618</v>
      </c>
      <c r="AR40" s="12">
        <v>0.170087</v>
      </c>
      <c r="AS40" s="12">
        <v>0.178564</v>
      </c>
      <c r="AT40" s="12">
        <v>0.139368</v>
      </c>
      <c r="AU40" s="12">
        <v>0.142914</v>
      </c>
      <c r="AV40" s="12">
        <v>0.13492</v>
      </c>
      <c r="AW40" s="12">
        <v>0.127691</v>
      </c>
      <c r="AX40" s="12">
        <v>0.115535</v>
      </c>
      <c r="AY40" s="12">
        <v>0.126272</v>
      </c>
      <c r="AZ40" s="12">
        <v>0.124376</v>
      </c>
      <c r="BA40" s="12">
        <v>0.127115</v>
      </c>
      <c r="BB40" s="12">
        <v>0.123384</v>
      </c>
      <c r="BC40" s="12">
        <v>0.30969</v>
      </c>
      <c r="BD40" s="12">
        <v>0.295443</v>
      </c>
      <c r="BE40" s="12">
        <v>0.274668</v>
      </c>
      <c r="BF40" s="12">
        <v>0.135618</v>
      </c>
      <c r="BG40" s="12">
        <v>0.123965</v>
      </c>
      <c r="BH40" s="12">
        <v>0.133917</v>
      </c>
      <c r="BI40" s="12">
        <v>-0.022111</v>
      </c>
      <c r="BJ40" s="12">
        <v>-0.008438</v>
      </c>
      <c r="BK40" s="12">
        <v>-0.019391</v>
      </c>
    </row>
    <row r="41" spans="1:63">
      <c r="A41" s="12" t="s">
        <v>89</v>
      </c>
      <c r="B41" s="12">
        <v>-0.076486</v>
      </c>
      <c r="C41" s="12">
        <v>-0.130986</v>
      </c>
      <c r="D41" s="12">
        <v>-0.137027</v>
      </c>
      <c r="E41" s="12">
        <v>-0.163726</v>
      </c>
      <c r="F41" s="12">
        <v>-0.094211</v>
      </c>
      <c r="G41" s="12">
        <v>-0.162531</v>
      </c>
      <c r="H41" s="12">
        <v>-0.146159</v>
      </c>
      <c r="I41" s="12">
        <v>-0.12824</v>
      </c>
      <c r="J41" s="12">
        <v>-0.14329</v>
      </c>
      <c r="K41" s="12">
        <v>-0.113432</v>
      </c>
      <c r="L41" s="12">
        <v>-0.130756</v>
      </c>
      <c r="M41" s="12">
        <v>-0.141104</v>
      </c>
      <c r="N41" s="12">
        <v>-0.131922</v>
      </c>
      <c r="O41" s="12">
        <v>-0.148215</v>
      </c>
      <c r="P41" s="12">
        <v>-0.147095</v>
      </c>
      <c r="Q41" s="12">
        <v>-0.139834</v>
      </c>
      <c r="R41" s="12">
        <v>-0.146493</v>
      </c>
      <c r="S41" s="12">
        <v>-0.135488</v>
      </c>
      <c r="T41" s="12">
        <v>-0.147532</v>
      </c>
      <c r="U41" s="12">
        <v>-0.13663</v>
      </c>
      <c r="V41" s="12">
        <v>-0.099203</v>
      </c>
      <c r="W41" s="12">
        <v>-0.169475</v>
      </c>
      <c r="X41" s="12">
        <v>-0.185615</v>
      </c>
      <c r="Y41" s="12">
        <v>-0.176755</v>
      </c>
      <c r="Z41" s="12">
        <v>-0.179053</v>
      </c>
      <c r="AA41" s="12">
        <v>-0.178503</v>
      </c>
      <c r="AB41" s="12">
        <v>-0.171964</v>
      </c>
      <c r="AC41" s="12">
        <v>-0.171781</v>
      </c>
      <c r="AD41" s="12">
        <v>-0.172114</v>
      </c>
      <c r="AE41" s="12">
        <v>-0.16238</v>
      </c>
      <c r="AF41" s="12">
        <v>-0.171607</v>
      </c>
      <c r="AG41" s="12">
        <v>-0.151168</v>
      </c>
      <c r="AH41" s="12">
        <v>-0.128039</v>
      </c>
      <c r="AI41" s="12">
        <v>-0.157867</v>
      </c>
      <c r="AJ41" s="12">
        <v>-0.098584</v>
      </c>
      <c r="AK41" s="12">
        <v>-0.160388</v>
      </c>
      <c r="AL41" s="12">
        <v>-0.157892</v>
      </c>
      <c r="AM41" s="12">
        <v>0.424386</v>
      </c>
      <c r="AN41" s="12">
        <v>1.041839</v>
      </c>
      <c r="AO41" s="12">
        <v>0.437609</v>
      </c>
      <c r="AP41" s="12">
        <v>0.419606</v>
      </c>
      <c r="AQ41" s="12">
        <v>0.200447</v>
      </c>
      <c r="AR41" s="12">
        <v>0.187103</v>
      </c>
      <c r="AS41" s="12">
        <v>0.209696</v>
      </c>
      <c r="AT41" s="12">
        <v>0.147384</v>
      </c>
      <c r="AU41" s="12">
        <v>0.143667</v>
      </c>
      <c r="AV41" s="12">
        <v>0.144038</v>
      </c>
      <c r="AW41" s="12">
        <v>0.120078</v>
      </c>
      <c r="AX41" s="12">
        <v>0.118965</v>
      </c>
      <c r="AY41" s="12">
        <v>0.12966</v>
      </c>
      <c r="AZ41" s="12">
        <v>0.128393</v>
      </c>
      <c r="BA41" s="12">
        <v>0.129469</v>
      </c>
      <c r="BB41" s="12">
        <v>0.127388</v>
      </c>
      <c r="BC41" s="12">
        <v>0.327319</v>
      </c>
      <c r="BD41" s="12">
        <v>0.303907</v>
      </c>
      <c r="BE41" s="12">
        <v>0.269481</v>
      </c>
      <c r="BF41" s="12">
        <v>0.131037</v>
      </c>
      <c r="BG41" s="12">
        <v>0.125479</v>
      </c>
      <c r="BH41" s="12">
        <v>0.137301</v>
      </c>
      <c r="BI41" s="12">
        <v>-0.027734</v>
      </c>
      <c r="BJ41" s="12">
        <v>-0.013972</v>
      </c>
      <c r="BK41" s="12">
        <v>-0.023873</v>
      </c>
    </row>
    <row r="42" spans="1:63">
      <c r="A42" s="12" t="s">
        <v>91</v>
      </c>
      <c r="B42" s="12">
        <v>-0.074635</v>
      </c>
      <c r="C42" s="12">
        <v>-0.129932</v>
      </c>
      <c r="D42" s="12">
        <v>-0.135754</v>
      </c>
      <c r="E42" s="12">
        <v>-0.161681</v>
      </c>
      <c r="F42" s="12">
        <v>-0.091219</v>
      </c>
      <c r="G42" s="12">
        <v>-0.160063</v>
      </c>
      <c r="H42" s="12">
        <v>-0.144663</v>
      </c>
      <c r="I42" s="12">
        <v>-0.126963</v>
      </c>
      <c r="J42" s="12">
        <v>-0.14152</v>
      </c>
      <c r="K42" s="12">
        <v>-0.112318</v>
      </c>
      <c r="L42" s="12">
        <v>-0.130281</v>
      </c>
      <c r="M42" s="12">
        <v>-0.139981</v>
      </c>
      <c r="N42" s="12">
        <v>-0.130713</v>
      </c>
      <c r="O42" s="12">
        <v>-0.146986</v>
      </c>
      <c r="P42" s="12">
        <v>-0.145385</v>
      </c>
      <c r="Q42" s="12">
        <v>-0.138421</v>
      </c>
      <c r="R42" s="12">
        <v>-0.146528</v>
      </c>
      <c r="S42" s="12">
        <v>-0.135824</v>
      </c>
      <c r="T42" s="12">
        <v>-0.146948</v>
      </c>
      <c r="U42" s="12">
        <v>-0.134631</v>
      </c>
      <c r="V42" s="12">
        <v>-0.097322</v>
      </c>
      <c r="W42" s="12">
        <v>-0.167755</v>
      </c>
      <c r="X42" s="12">
        <v>-0.183717</v>
      </c>
      <c r="Y42" s="12">
        <v>-0.173584</v>
      </c>
      <c r="Z42" s="12">
        <v>-0.176352</v>
      </c>
      <c r="AA42" s="12">
        <v>-0.176061</v>
      </c>
      <c r="AB42" s="12">
        <v>-0.169559</v>
      </c>
      <c r="AC42" s="12">
        <v>-0.171373</v>
      </c>
      <c r="AD42" s="12">
        <v>-0.171182</v>
      </c>
      <c r="AE42" s="12">
        <v>-0.161078</v>
      </c>
      <c r="AF42" s="12">
        <v>-0.171044</v>
      </c>
      <c r="AG42" s="12">
        <v>-0.150889</v>
      </c>
      <c r="AH42" s="12">
        <v>-0.126961</v>
      </c>
      <c r="AI42" s="12">
        <v>-0.157233</v>
      </c>
      <c r="AJ42" s="12">
        <v>-0.097064</v>
      </c>
      <c r="AK42" s="12">
        <v>-0.159986</v>
      </c>
      <c r="AL42" s="12">
        <v>-0.156648</v>
      </c>
      <c r="AM42" s="12">
        <v>0.458902</v>
      </c>
      <c r="AN42" s="12">
        <v>0.437609</v>
      </c>
      <c r="AO42" s="12">
        <v>1.005746</v>
      </c>
      <c r="AP42" s="12">
        <v>0.41157</v>
      </c>
      <c r="AQ42" s="12">
        <v>0.18857</v>
      </c>
      <c r="AR42" s="12">
        <v>0.17676</v>
      </c>
      <c r="AS42" s="12">
        <v>0.196596</v>
      </c>
      <c r="AT42" s="12">
        <v>0.146088</v>
      </c>
      <c r="AU42" s="12">
        <v>0.146595</v>
      </c>
      <c r="AV42" s="12">
        <v>0.14496</v>
      </c>
      <c r="AW42" s="12">
        <v>0.128714</v>
      </c>
      <c r="AX42" s="12">
        <v>0.119287</v>
      </c>
      <c r="AY42" s="12">
        <v>0.133708</v>
      </c>
      <c r="AZ42" s="12">
        <v>0.13304</v>
      </c>
      <c r="BA42" s="12">
        <v>0.133329</v>
      </c>
      <c r="BB42" s="12">
        <v>0.131343</v>
      </c>
      <c r="BC42" s="12">
        <v>0.317752</v>
      </c>
      <c r="BD42" s="12">
        <v>0.280179</v>
      </c>
      <c r="BE42" s="12">
        <v>0.272656</v>
      </c>
      <c r="BF42" s="12">
        <v>0.134043</v>
      </c>
      <c r="BG42" s="12">
        <v>0.125073</v>
      </c>
      <c r="BH42" s="12">
        <v>0.128663</v>
      </c>
      <c r="BI42" s="12">
        <v>-0.024461</v>
      </c>
      <c r="BJ42" s="12">
        <v>-0.010867</v>
      </c>
      <c r="BK42" s="12">
        <v>-0.021367</v>
      </c>
    </row>
    <row r="43" spans="1:63">
      <c r="A43" s="12" t="s">
        <v>93</v>
      </c>
      <c r="B43" s="12">
        <v>-0.073364</v>
      </c>
      <c r="C43" s="12">
        <v>-0.128446</v>
      </c>
      <c r="D43" s="12">
        <v>-0.133674</v>
      </c>
      <c r="E43" s="12">
        <v>-0.160195</v>
      </c>
      <c r="F43" s="12">
        <v>-0.0903</v>
      </c>
      <c r="G43" s="12">
        <v>-0.159434</v>
      </c>
      <c r="H43" s="12">
        <v>-0.143091</v>
      </c>
      <c r="I43" s="12">
        <v>-0.124244</v>
      </c>
      <c r="J43" s="12">
        <v>-0.140169</v>
      </c>
      <c r="K43" s="12">
        <v>-0.11095</v>
      </c>
      <c r="L43" s="12">
        <v>-0.127539</v>
      </c>
      <c r="M43" s="12">
        <v>-0.136903</v>
      </c>
      <c r="N43" s="12">
        <v>-0.128854</v>
      </c>
      <c r="O43" s="12">
        <v>-0.145269</v>
      </c>
      <c r="P43" s="12">
        <v>-0.144153</v>
      </c>
      <c r="Q43" s="12">
        <v>-0.137172</v>
      </c>
      <c r="R43" s="12">
        <v>-0.142892</v>
      </c>
      <c r="S43" s="12">
        <v>-0.132412</v>
      </c>
      <c r="T43" s="12">
        <v>-0.14458</v>
      </c>
      <c r="U43" s="12">
        <v>-0.133379</v>
      </c>
      <c r="V43" s="12">
        <v>-0.096422</v>
      </c>
      <c r="W43" s="12">
        <v>-0.166039</v>
      </c>
      <c r="X43" s="12">
        <v>-0.18159</v>
      </c>
      <c r="Y43" s="12">
        <v>-0.174448</v>
      </c>
      <c r="Z43" s="12">
        <v>-0.175866</v>
      </c>
      <c r="AA43" s="12">
        <v>-0.175464</v>
      </c>
      <c r="AB43" s="12">
        <v>-0.168147</v>
      </c>
      <c r="AC43" s="12">
        <v>-0.169713</v>
      </c>
      <c r="AD43" s="12">
        <v>-0.169251</v>
      </c>
      <c r="AE43" s="12">
        <v>-0.159111</v>
      </c>
      <c r="AF43" s="12">
        <v>-0.168685</v>
      </c>
      <c r="AG43" s="12">
        <v>-0.148738</v>
      </c>
      <c r="AH43" s="12">
        <v>-0.125195</v>
      </c>
      <c r="AI43" s="12">
        <v>-0.155833</v>
      </c>
      <c r="AJ43" s="12">
        <v>-0.094593</v>
      </c>
      <c r="AK43" s="12">
        <v>-0.157439</v>
      </c>
      <c r="AL43" s="12">
        <v>-0.155074</v>
      </c>
      <c r="AM43" s="12">
        <v>0.399776</v>
      </c>
      <c r="AN43" s="12">
        <v>0.419606</v>
      </c>
      <c r="AO43" s="12">
        <v>0.41157</v>
      </c>
      <c r="AP43" s="12">
        <v>1.01885</v>
      </c>
      <c r="AQ43" s="12">
        <v>0.185027</v>
      </c>
      <c r="AR43" s="12">
        <v>0.187386</v>
      </c>
      <c r="AS43" s="12">
        <v>0.18901</v>
      </c>
      <c r="AT43" s="12">
        <v>0.136769</v>
      </c>
      <c r="AU43" s="12">
        <v>0.143297</v>
      </c>
      <c r="AV43" s="12">
        <v>0.138119</v>
      </c>
      <c r="AW43" s="12">
        <v>0.123431</v>
      </c>
      <c r="AX43" s="12">
        <v>0.119893</v>
      </c>
      <c r="AY43" s="12">
        <v>0.133486</v>
      </c>
      <c r="AZ43" s="12">
        <v>0.131961</v>
      </c>
      <c r="BA43" s="12">
        <v>0.128999</v>
      </c>
      <c r="BB43" s="12">
        <v>0.125389</v>
      </c>
      <c r="BC43" s="12">
        <v>0.326252</v>
      </c>
      <c r="BD43" s="12">
        <v>0.295814</v>
      </c>
      <c r="BE43" s="12">
        <v>0.271787</v>
      </c>
      <c r="BF43" s="12">
        <v>0.131749</v>
      </c>
      <c r="BG43" s="12">
        <v>0.129526</v>
      </c>
      <c r="BH43" s="12">
        <v>0.132005</v>
      </c>
      <c r="BI43" s="12">
        <v>-0.023922</v>
      </c>
      <c r="BJ43" s="12">
        <v>-0.009961</v>
      </c>
      <c r="BK43" s="12">
        <v>-0.020618</v>
      </c>
    </row>
    <row r="44" spans="1:63">
      <c r="A44" s="12" t="s">
        <v>95</v>
      </c>
      <c r="B44" s="12">
        <v>-0.084043</v>
      </c>
      <c r="C44" s="12">
        <v>-0.138088</v>
      </c>
      <c r="D44" s="12">
        <v>-0.144193</v>
      </c>
      <c r="E44" s="12">
        <v>-0.169308</v>
      </c>
      <c r="F44" s="12">
        <v>-0.106534</v>
      </c>
      <c r="G44" s="12">
        <v>-0.168447</v>
      </c>
      <c r="H44" s="12">
        <v>-0.15163</v>
      </c>
      <c r="I44" s="12">
        <v>-0.135939</v>
      </c>
      <c r="J44" s="12">
        <v>-0.149527</v>
      </c>
      <c r="K44" s="12">
        <v>-0.121752</v>
      </c>
      <c r="L44" s="12">
        <v>-0.13922</v>
      </c>
      <c r="M44" s="12">
        <v>-0.14693</v>
      </c>
      <c r="N44" s="12">
        <v>-0.138492</v>
      </c>
      <c r="O44" s="12">
        <v>-0.152205</v>
      </c>
      <c r="P44" s="12">
        <v>-0.150959</v>
      </c>
      <c r="Q44" s="12">
        <v>-0.144352</v>
      </c>
      <c r="R44" s="12">
        <v>-0.152404</v>
      </c>
      <c r="S44" s="12">
        <v>-0.141721</v>
      </c>
      <c r="T44" s="12">
        <v>-0.150418</v>
      </c>
      <c r="U44" s="12">
        <v>-0.142345</v>
      </c>
      <c r="V44" s="12">
        <v>-0.110075</v>
      </c>
      <c r="W44" s="12">
        <v>-0.171894</v>
      </c>
      <c r="X44" s="12">
        <v>-0.185313</v>
      </c>
      <c r="Y44" s="12">
        <v>-0.177264</v>
      </c>
      <c r="Z44" s="12">
        <v>-0.180854</v>
      </c>
      <c r="AA44" s="12">
        <v>-0.178723</v>
      </c>
      <c r="AB44" s="12">
        <v>-0.17504</v>
      </c>
      <c r="AC44" s="12">
        <v>-0.173604</v>
      </c>
      <c r="AD44" s="12">
        <v>-0.172815</v>
      </c>
      <c r="AE44" s="12">
        <v>-0.164355</v>
      </c>
      <c r="AF44" s="12">
        <v>-0.173533</v>
      </c>
      <c r="AG44" s="12">
        <v>-0.157007</v>
      </c>
      <c r="AH44" s="12">
        <v>-0.135529</v>
      </c>
      <c r="AI44" s="12">
        <v>-0.162747</v>
      </c>
      <c r="AJ44" s="12">
        <v>-0.106504</v>
      </c>
      <c r="AK44" s="12">
        <v>-0.160403</v>
      </c>
      <c r="AL44" s="12">
        <v>-0.157923</v>
      </c>
      <c r="AM44" s="12">
        <v>0.180618</v>
      </c>
      <c r="AN44" s="12">
        <v>0.200447</v>
      </c>
      <c r="AO44" s="12">
        <v>0.18857</v>
      </c>
      <c r="AP44" s="12">
        <v>0.185027</v>
      </c>
      <c r="AQ44" s="12">
        <v>1.134433</v>
      </c>
      <c r="AR44" s="12">
        <v>0.501628</v>
      </c>
      <c r="AS44" s="12">
        <v>0.522712</v>
      </c>
      <c r="AT44" s="12">
        <v>0.165545</v>
      </c>
      <c r="AU44" s="12">
        <v>0.168995</v>
      </c>
      <c r="AV44" s="12">
        <v>0.183746</v>
      </c>
      <c r="AW44" s="12">
        <v>0.189433</v>
      </c>
      <c r="AX44" s="12">
        <v>0.180235</v>
      </c>
      <c r="AY44" s="12">
        <v>0.20602</v>
      </c>
      <c r="AZ44" s="12">
        <v>0.143664</v>
      </c>
      <c r="BA44" s="12">
        <v>0.150074</v>
      </c>
      <c r="BB44" s="12">
        <v>0.14832</v>
      </c>
      <c r="BC44" s="12">
        <v>0.217115</v>
      </c>
      <c r="BD44" s="12">
        <v>0.197406</v>
      </c>
      <c r="BE44" s="12">
        <v>0.179718</v>
      </c>
      <c r="BF44" s="12">
        <v>0.193663</v>
      </c>
      <c r="BG44" s="12">
        <v>0.217243</v>
      </c>
      <c r="BH44" s="12">
        <v>0.1503</v>
      </c>
      <c r="BI44" s="12">
        <v>-0.028723</v>
      </c>
      <c r="BJ44" s="12">
        <v>-0.017522</v>
      </c>
      <c r="BK44" s="12">
        <v>-0.027277</v>
      </c>
    </row>
    <row r="45" spans="1:63">
      <c r="A45" s="12" t="s">
        <v>97</v>
      </c>
      <c r="B45" s="12">
        <v>-0.085273</v>
      </c>
      <c r="C45" s="12">
        <v>-0.139464</v>
      </c>
      <c r="D45" s="12">
        <v>-0.144789</v>
      </c>
      <c r="E45" s="12">
        <v>-0.170274</v>
      </c>
      <c r="F45" s="12">
        <v>-0.110072</v>
      </c>
      <c r="G45" s="12">
        <v>-0.16923</v>
      </c>
      <c r="H45" s="12">
        <v>-0.15252</v>
      </c>
      <c r="I45" s="12">
        <v>-0.137641</v>
      </c>
      <c r="J45" s="12">
        <v>-0.149647</v>
      </c>
      <c r="K45" s="12">
        <v>-0.124179</v>
      </c>
      <c r="L45" s="12">
        <v>-0.139103</v>
      </c>
      <c r="M45" s="12">
        <v>-0.147964</v>
      </c>
      <c r="N45" s="12">
        <v>-0.139471</v>
      </c>
      <c r="O45" s="12">
        <v>-0.153796</v>
      </c>
      <c r="P45" s="12">
        <v>-0.151393</v>
      </c>
      <c r="Q45" s="12">
        <v>-0.145377</v>
      </c>
      <c r="R45" s="12">
        <v>-0.151994</v>
      </c>
      <c r="S45" s="12">
        <v>-0.142221</v>
      </c>
      <c r="T45" s="12">
        <v>-0.151407</v>
      </c>
      <c r="U45" s="12">
        <v>-0.142606</v>
      </c>
      <c r="V45" s="12">
        <v>-0.111027</v>
      </c>
      <c r="W45" s="12">
        <v>-0.173772</v>
      </c>
      <c r="X45" s="12">
        <v>-0.186898</v>
      </c>
      <c r="Y45" s="12">
        <v>-0.177714</v>
      </c>
      <c r="Z45" s="12">
        <v>-0.182359</v>
      </c>
      <c r="AA45" s="12">
        <v>-0.179374</v>
      </c>
      <c r="AB45" s="12">
        <v>-0.175867</v>
      </c>
      <c r="AC45" s="12">
        <v>-0.174421</v>
      </c>
      <c r="AD45" s="12">
        <v>-0.173136</v>
      </c>
      <c r="AE45" s="12">
        <v>-0.166504</v>
      </c>
      <c r="AF45" s="12">
        <v>-0.176198</v>
      </c>
      <c r="AG45" s="12">
        <v>-0.159069</v>
      </c>
      <c r="AH45" s="12">
        <v>-0.138649</v>
      </c>
      <c r="AI45" s="12">
        <v>-0.163662</v>
      </c>
      <c r="AJ45" s="12">
        <v>-0.108951</v>
      </c>
      <c r="AK45" s="12">
        <v>-0.161396</v>
      </c>
      <c r="AL45" s="12">
        <v>-0.157394</v>
      </c>
      <c r="AM45" s="12">
        <v>0.170087</v>
      </c>
      <c r="AN45" s="12">
        <v>0.187103</v>
      </c>
      <c r="AO45" s="12">
        <v>0.17676</v>
      </c>
      <c r="AP45" s="12">
        <v>0.187386</v>
      </c>
      <c r="AQ45" s="12">
        <v>0.501628</v>
      </c>
      <c r="AR45" s="12">
        <v>1.158328</v>
      </c>
      <c r="AS45" s="12">
        <v>0.49803</v>
      </c>
      <c r="AT45" s="12">
        <v>0.169887</v>
      </c>
      <c r="AU45" s="12">
        <v>0.175867</v>
      </c>
      <c r="AV45" s="12">
        <v>0.185151</v>
      </c>
      <c r="AW45" s="12">
        <v>0.201814</v>
      </c>
      <c r="AX45" s="12">
        <v>0.200085</v>
      </c>
      <c r="AY45" s="12">
        <v>0.207117</v>
      </c>
      <c r="AZ45" s="12">
        <v>0.166316</v>
      </c>
      <c r="BA45" s="12">
        <v>0.165429</v>
      </c>
      <c r="BB45" s="12">
        <v>0.16596</v>
      </c>
      <c r="BC45" s="12">
        <v>0.21452</v>
      </c>
      <c r="BD45" s="12">
        <v>0.186065</v>
      </c>
      <c r="BE45" s="12">
        <v>0.163599</v>
      </c>
      <c r="BF45" s="12">
        <v>0.202135</v>
      </c>
      <c r="BG45" s="12">
        <v>0.226338</v>
      </c>
      <c r="BH45" s="12">
        <v>0.152821</v>
      </c>
      <c r="BI45" s="12">
        <v>-0.029418</v>
      </c>
      <c r="BJ45" s="12">
        <v>-0.019727</v>
      </c>
      <c r="BK45" s="12">
        <v>-0.028064</v>
      </c>
    </row>
    <row r="46" spans="1:63">
      <c r="A46" s="12" t="s">
        <v>99</v>
      </c>
      <c r="B46" s="12">
        <v>-0.089399</v>
      </c>
      <c r="C46" s="12">
        <v>-0.145808</v>
      </c>
      <c r="D46" s="12">
        <v>-0.149896</v>
      </c>
      <c r="E46" s="12">
        <v>-0.174519</v>
      </c>
      <c r="F46" s="12">
        <v>-0.116489</v>
      </c>
      <c r="G46" s="12">
        <v>-0.173295</v>
      </c>
      <c r="H46" s="12">
        <v>-0.15834</v>
      </c>
      <c r="I46" s="12">
        <v>-0.142793</v>
      </c>
      <c r="J46" s="12">
        <v>-0.155454</v>
      </c>
      <c r="K46" s="12">
        <v>-0.130592</v>
      </c>
      <c r="L46" s="12">
        <v>-0.145725</v>
      </c>
      <c r="M46" s="12">
        <v>-0.152999</v>
      </c>
      <c r="N46" s="12">
        <v>-0.144972</v>
      </c>
      <c r="O46" s="12">
        <v>-0.158137</v>
      </c>
      <c r="P46" s="12">
        <v>-0.158249</v>
      </c>
      <c r="Q46" s="12">
        <v>-0.151165</v>
      </c>
      <c r="R46" s="12">
        <v>-0.157665</v>
      </c>
      <c r="S46" s="12">
        <v>-0.147874</v>
      </c>
      <c r="T46" s="12">
        <v>-0.155401</v>
      </c>
      <c r="U46" s="12">
        <v>-0.148778</v>
      </c>
      <c r="V46" s="12">
        <v>-0.117508</v>
      </c>
      <c r="W46" s="12">
        <v>-0.179045</v>
      </c>
      <c r="X46" s="12">
        <v>-0.192123</v>
      </c>
      <c r="Y46" s="12">
        <v>-0.184068</v>
      </c>
      <c r="Z46" s="12">
        <v>-0.186389</v>
      </c>
      <c r="AA46" s="12">
        <v>-0.185183</v>
      </c>
      <c r="AB46" s="12">
        <v>-0.181317</v>
      </c>
      <c r="AC46" s="12">
        <v>-0.179963</v>
      </c>
      <c r="AD46" s="12">
        <v>-0.179115</v>
      </c>
      <c r="AE46" s="12">
        <v>-0.171308</v>
      </c>
      <c r="AF46" s="12">
        <v>-0.180368</v>
      </c>
      <c r="AG46" s="12">
        <v>-0.164066</v>
      </c>
      <c r="AH46" s="12">
        <v>-0.144889</v>
      </c>
      <c r="AI46" s="12">
        <v>-0.169143</v>
      </c>
      <c r="AJ46" s="12">
        <v>-0.115822</v>
      </c>
      <c r="AK46" s="12">
        <v>-0.166245</v>
      </c>
      <c r="AL46" s="12">
        <v>-0.163434</v>
      </c>
      <c r="AM46" s="12">
        <v>0.178564</v>
      </c>
      <c r="AN46" s="12">
        <v>0.209696</v>
      </c>
      <c r="AO46" s="12">
        <v>0.196596</v>
      </c>
      <c r="AP46" s="12">
        <v>0.18901</v>
      </c>
      <c r="AQ46" s="12">
        <v>0.522712</v>
      </c>
      <c r="AR46" s="12">
        <v>0.49803</v>
      </c>
      <c r="AS46" s="12">
        <v>1.224747</v>
      </c>
      <c r="AT46" s="12">
        <v>0.171859</v>
      </c>
      <c r="AU46" s="12">
        <v>0.178148</v>
      </c>
      <c r="AV46" s="12">
        <v>0.197727</v>
      </c>
      <c r="AW46" s="12">
        <v>0.201462</v>
      </c>
      <c r="AX46" s="12">
        <v>0.207715</v>
      </c>
      <c r="AY46" s="12">
        <v>0.221236</v>
      </c>
      <c r="AZ46" s="12">
        <v>0.162762</v>
      </c>
      <c r="BA46" s="12">
        <v>0.169671</v>
      </c>
      <c r="BB46" s="12">
        <v>0.160207</v>
      </c>
      <c r="BC46" s="12">
        <v>0.231211</v>
      </c>
      <c r="BD46" s="12">
        <v>0.207872</v>
      </c>
      <c r="BE46" s="12">
        <v>0.179533</v>
      </c>
      <c r="BF46" s="12">
        <v>0.194982</v>
      </c>
      <c r="BG46" s="12">
        <v>0.223385</v>
      </c>
      <c r="BH46" s="12">
        <v>0.136845</v>
      </c>
      <c r="BI46" s="12">
        <v>-0.0309</v>
      </c>
      <c r="BJ46" s="12">
        <v>-0.02314</v>
      </c>
      <c r="BK46" s="12">
        <v>-0.029673</v>
      </c>
    </row>
    <row r="47" spans="1:63">
      <c r="A47" s="12" t="s">
        <v>101</v>
      </c>
      <c r="B47" s="12">
        <v>-0.077582</v>
      </c>
      <c r="C47" s="12">
        <v>-0.135417</v>
      </c>
      <c r="D47" s="12">
        <v>-0.139742</v>
      </c>
      <c r="E47" s="12">
        <v>-0.160964</v>
      </c>
      <c r="F47" s="12">
        <v>-0.10464</v>
      </c>
      <c r="G47" s="12">
        <v>-0.160171</v>
      </c>
      <c r="H47" s="12">
        <v>-0.147106</v>
      </c>
      <c r="I47" s="12">
        <v>-0.132902</v>
      </c>
      <c r="J47" s="12">
        <v>-0.14553</v>
      </c>
      <c r="K47" s="12">
        <v>-0.118345</v>
      </c>
      <c r="L47" s="12">
        <v>-0.134936</v>
      </c>
      <c r="M47" s="12">
        <v>-0.143389</v>
      </c>
      <c r="N47" s="12">
        <v>-0.135163</v>
      </c>
      <c r="O47" s="12">
        <v>-0.149444</v>
      </c>
      <c r="P47" s="12">
        <v>-0.14548</v>
      </c>
      <c r="Q47" s="12">
        <v>-0.143341</v>
      </c>
      <c r="R47" s="12">
        <v>-0.145935</v>
      </c>
      <c r="S47" s="12">
        <v>-0.13822</v>
      </c>
      <c r="T47" s="12">
        <v>-0.14629</v>
      </c>
      <c r="U47" s="12">
        <v>-0.13892</v>
      </c>
      <c r="V47" s="12">
        <v>-0.108906</v>
      </c>
      <c r="W47" s="12">
        <v>-0.161521</v>
      </c>
      <c r="X47" s="12">
        <v>-0.17328</v>
      </c>
      <c r="Y47" s="12">
        <v>-0.166317</v>
      </c>
      <c r="Z47" s="12">
        <v>-0.170563</v>
      </c>
      <c r="AA47" s="12">
        <v>-0.167703</v>
      </c>
      <c r="AB47" s="12">
        <v>-0.164391</v>
      </c>
      <c r="AC47" s="12">
        <v>-0.163246</v>
      </c>
      <c r="AD47" s="12">
        <v>-0.163213</v>
      </c>
      <c r="AE47" s="12">
        <v>-0.155239</v>
      </c>
      <c r="AF47" s="12">
        <v>-0.162811</v>
      </c>
      <c r="AG47" s="12">
        <v>-0.148553</v>
      </c>
      <c r="AH47" s="12">
        <v>-0.129086</v>
      </c>
      <c r="AI47" s="12">
        <v>-0.153414</v>
      </c>
      <c r="AJ47" s="12">
        <v>-0.102634</v>
      </c>
      <c r="AK47" s="12">
        <v>-0.150233</v>
      </c>
      <c r="AL47" s="12">
        <v>-0.148707</v>
      </c>
      <c r="AM47" s="12">
        <v>0.139368</v>
      </c>
      <c r="AN47" s="12">
        <v>0.147384</v>
      </c>
      <c r="AO47" s="12">
        <v>0.146088</v>
      </c>
      <c r="AP47" s="12">
        <v>0.136769</v>
      </c>
      <c r="AQ47" s="12">
        <v>0.165545</v>
      </c>
      <c r="AR47" s="12">
        <v>0.169887</v>
      </c>
      <c r="AS47" s="12">
        <v>0.171859</v>
      </c>
      <c r="AT47" s="12">
        <v>1.130325</v>
      </c>
      <c r="AU47" s="12">
        <v>0.361857</v>
      </c>
      <c r="AV47" s="12">
        <v>0.410127</v>
      </c>
      <c r="AW47" s="12">
        <v>0.199511</v>
      </c>
      <c r="AX47" s="12">
        <v>0.186559</v>
      </c>
      <c r="AY47" s="12">
        <v>0.193328</v>
      </c>
      <c r="AZ47" s="12">
        <v>0.327622</v>
      </c>
      <c r="BA47" s="12">
        <v>0.298953</v>
      </c>
      <c r="BB47" s="12">
        <v>0.302723</v>
      </c>
      <c r="BC47" s="12">
        <v>0.138469</v>
      </c>
      <c r="BD47" s="12">
        <v>0.128074</v>
      </c>
      <c r="BE47" s="12">
        <v>0.120844</v>
      </c>
      <c r="BF47" s="12">
        <v>0.157068</v>
      </c>
      <c r="BG47" s="12">
        <v>0.197998</v>
      </c>
      <c r="BH47" s="12">
        <v>0.133295</v>
      </c>
      <c r="BI47" s="12">
        <v>-0.023459</v>
      </c>
      <c r="BJ47" s="12">
        <v>-0.015439</v>
      </c>
      <c r="BK47" s="12">
        <v>-0.022733</v>
      </c>
    </row>
    <row r="48" spans="1:63">
      <c r="A48" s="12" t="s">
        <v>103</v>
      </c>
      <c r="B48" s="12">
        <v>-0.079044</v>
      </c>
      <c r="C48" s="12">
        <v>-0.134966</v>
      </c>
      <c r="D48" s="12">
        <v>-0.141945</v>
      </c>
      <c r="E48" s="12">
        <v>-0.163186</v>
      </c>
      <c r="F48" s="12">
        <v>-0.106772</v>
      </c>
      <c r="G48" s="12">
        <v>-0.161878</v>
      </c>
      <c r="H48" s="12">
        <v>-0.14858</v>
      </c>
      <c r="I48" s="12">
        <v>-0.133983</v>
      </c>
      <c r="J48" s="12">
        <v>-0.146758</v>
      </c>
      <c r="K48" s="12">
        <v>-0.119502</v>
      </c>
      <c r="L48" s="12">
        <v>-0.134851</v>
      </c>
      <c r="M48" s="12">
        <v>-0.143505</v>
      </c>
      <c r="N48" s="12">
        <v>-0.134998</v>
      </c>
      <c r="O48" s="12">
        <v>-0.150939</v>
      </c>
      <c r="P48" s="12">
        <v>-0.146242</v>
      </c>
      <c r="Q48" s="12">
        <v>-0.142971</v>
      </c>
      <c r="R48" s="12">
        <v>-0.146623</v>
      </c>
      <c r="S48" s="12">
        <v>-0.13856</v>
      </c>
      <c r="T48" s="12">
        <v>-0.146196</v>
      </c>
      <c r="U48" s="12">
        <v>-0.140158</v>
      </c>
      <c r="V48" s="12">
        <v>-0.111036</v>
      </c>
      <c r="W48" s="12">
        <v>-0.165152</v>
      </c>
      <c r="X48" s="12">
        <v>-0.17648</v>
      </c>
      <c r="Y48" s="12">
        <v>-0.168885</v>
      </c>
      <c r="Z48" s="12">
        <v>-0.171425</v>
      </c>
      <c r="AA48" s="12">
        <v>-0.16944</v>
      </c>
      <c r="AB48" s="12">
        <v>-0.166811</v>
      </c>
      <c r="AC48" s="12">
        <v>-0.165196</v>
      </c>
      <c r="AD48" s="12">
        <v>-0.164863</v>
      </c>
      <c r="AE48" s="12">
        <v>-0.156591</v>
      </c>
      <c r="AF48" s="12">
        <v>-0.164302</v>
      </c>
      <c r="AG48" s="12">
        <v>-0.150799</v>
      </c>
      <c r="AH48" s="12">
        <v>-0.130541</v>
      </c>
      <c r="AI48" s="12">
        <v>-0.155538</v>
      </c>
      <c r="AJ48" s="12">
        <v>-0.103217</v>
      </c>
      <c r="AK48" s="12">
        <v>-0.151547</v>
      </c>
      <c r="AL48" s="12">
        <v>-0.148273</v>
      </c>
      <c r="AM48" s="12">
        <v>0.142914</v>
      </c>
      <c r="AN48" s="12">
        <v>0.143667</v>
      </c>
      <c r="AO48" s="12">
        <v>0.146595</v>
      </c>
      <c r="AP48" s="12">
        <v>0.143297</v>
      </c>
      <c r="AQ48" s="12">
        <v>0.168995</v>
      </c>
      <c r="AR48" s="12">
        <v>0.175867</v>
      </c>
      <c r="AS48" s="12">
        <v>0.178148</v>
      </c>
      <c r="AT48" s="12">
        <v>0.361857</v>
      </c>
      <c r="AU48" s="12">
        <v>1.118606</v>
      </c>
      <c r="AV48" s="12">
        <v>0.406763</v>
      </c>
      <c r="AW48" s="12">
        <v>0.203006</v>
      </c>
      <c r="AX48" s="12">
        <v>0.203694</v>
      </c>
      <c r="AY48" s="12">
        <v>0.200441</v>
      </c>
      <c r="AZ48" s="12">
        <v>0.314351</v>
      </c>
      <c r="BA48" s="12">
        <v>0.303106</v>
      </c>
      <c r="BB48" s="12">
        <v>0.3001</v>
      </c>
      <c r="BC48" s="12">
        <v>0.157421</v>
      </c>
      <c r="BD48" s="12">
        <v>0.142162</v>
      </c>
      <c r="BE48" s="12">
        <v>0.125901</v>
      </c>
      <c r="BF48" s="12">
        <v>0.167245</v>
      </c>
      <c r="BG48" s="12">
        <v>0.193301</v>
      </c>
      <c r="BH48" s="12">
        <v>0.126293</v>
      </c>
      <c r="BI48" s="12">
        <v>-0.023326</v>
      </c>
      <c r="BJ48" s="12">
        <v>-0.01608</v>
      </c>
      <c r="BK48" s="12">
        <v>-0.022765</v>
      </c>
    </row>
    <row r="49" spans="1:63">
      <c r="A49" s="12" t="s">
        <v>105</v>
      </c>
      <c r="B49" s="12">
        <v>-0.08957</v>
      </c>
      <c r="C49" s="12">
        <v>-0.145825</v>
      </c>
      <c r="D49" s="12">
        <v>-0.150138</v>
      </c>
      <c r="E49" s="12">
        <v>-0.172275</v>
      </c>
      <c r="F49" s="12">
        <v>-0.119743</v>
      </c>
      <c r="G49" s="12">
        <v>-0.170214</v>
      </c>
      <c r="H49" s="12">
        <v>-0.158651</v>
      </c>
      <c r="I49" s="12">
        <v>-0.146113</v>
      </c>
      <c r="J49" s="12">
        <v>-0.156528</v>
      </c>
      <c r="K49" s="12">
        <v>-0.132513</v>
      </c>
      <c r="L49" s="12">
        <v>-0.145981</v>
      </c>
      <c r="M49" s="12">
        <v>-0.152289</v>
      </c>
      <c r="N49" s="12">
        <v>-0.145575</v>
      </c>
      <c r="O49" s="12">
        <v>-0.158111</v>
      </c>
      <c r="P49" s="12">
        <v>-0.156417</v>
      </c>
      <c r="Q49" s="12">
        <v>-0.152574</v>
      </c>
      <c r="R49" s="12">
        <v>-0.156812</v>
      </c>
      <c r="S49" s="12">
        <v>-0.148344</v>
      </c>
      <c r="T49" s="12">
        <v>-0.153033</v>
      </c>
      <c r="U49" s="12">
        <v>-0.146809</v>
      </c>
      <c r="V49" s="12">
        <v>-0.121293</v>
      </c>
      <c r="W49" s="12">
        <v>-0.172977</v>
      </c>
      <c r="X49" s="12">
        <v>-0.183315</v>
      </c>
      <c r="Y49" s="12">
        <v>-0.176197</v>
      </c>
      <c r="Z49" s="12">
        <v>-0.18022</v>
      </c>
      <c r="AA49" s="12">
        <v>-0.177399</v>
      </c>
      <c r="AB49" s="12">
        <v>-0.173889</v>
      </c>
      <c r="AC49" s="12">
        <v>-0.172739</v>
      </c>
      <c r="AD49" s="12">
        <v>-0.172481</v>
      </c>
      <c r="AE49" s="12">
        <v>-0.164783</v>
      </c>
      <c r="AF49" s="12">
        <v>-0.173533</v>
      </c>
      <c r="AG49" s="12">
        <v>-0.160179</v>
      </c>
      <c r="AH49" s="12">
        <v>-0.143473</v>
      </c>
      <c r="AI49" s="12">
        <v>-0.164241</v>
      </c>
      <c r="AJ49" s="12">
        <v>-0.118265</v>
      </c>
      <c r="AK49" s="12">
        <v>-0.160226</v>
      </c>
      <c r="AL49" s="12">
        <v>-0.157724</v>
      </c>
      <c r="AM49" s="12">
        <v>0.13492</v>
      </c>
      <c r="AN49" s="12">
        <v>0.144038</v>
      </c>
      <c r="AO49" s="12">
        <v>0.14496</v>
      </c>
      <c r="AP49" s="12">
        <v>0.138119</v>
      </c>
      <c r="AQ49" s="12">
        <v>0.183746</v>
      </c>
      <c r="AR49" s="12">
        <v>0.185151</v>
      </c>
      <c r="AS49" s="12">
        <v>0.197727</v>
      </c>
      <c r="AT49" s="12">
        <v>0.410127</v>
      </c>
      <c r="AU49" s="12">
        <v>0.406763</v>
      </c>
      <c r="AV49" s="12">
        <v>1.200894</v>
      </c>
      <c r="AW49" s="12">
        <v>0.225772</v>
      </c>
      <c r="AX49" s="12">
        <v>0.221668</v>
      </c>
      <c r="AY49" s="12">
        <v>0.222879</v>
      </c>
      <c r="AZ49" s="12">
        <v>0.370891</v>
      </c>
      <c r="BA49" s="12">
        <v>0.342216</v>
      </c>
      <c r="BB49" s="12">
        <v>0.353584</v>
      </c>
      <c r="BC49" s="12">
        <v>0.152245</v>
      </c>
      <c r="BD49" s="12">
        <v>0.14088</v>
      </c>
      <c r="BE49" s="12">
        <v>0.11408</v>
      </c>
      <c r="BF49" s="12">
        <v>0.17031</v>
      </c>
      <c r="BG49" s="12">
        <v>0.213981</v>
      </c>
      <c r="BH49" s="12">
        <v>0.121422</v>
      </c>
      <c r="BI49" s="12">
        <v>-0.031882</v>
      </c>
      <c r="BJ49" s="12">
        <v>-0.026483</v>
      </c>
      <c r="BK49" s="12">
        <v>-0.03004</v>
      </c>
    </row>
    <row r="50" spans="1:63">
      <c r="A50" s="12" t="s">
        <v>107</v>
      </c>
      <c r="B50" s="12">
        <v>-0.080188</v>
      </c>
      <c r="C50" s="12">
        <v>-0.136539</v>
      </c>
      <c r="D50" s="12">
        <v>-0.143435</v>
      </c>
      <c r="E50" s="12">
        <v>-0.16542</v>
      </c>
      <c r="F50" s="12">
        <v>-0.112428</v>
      </c>
      <c r="G50" s="12">
        <v>-0.163994</v>
      </c>
      <c r="H50" s="12">
        <v>-0.150142</v>
      </c>
      <c r="I50" s="12">
        <v>-0.136972</v>
      </c>
      <c r="J50" s="12">
        <v>-0.148073</v>
      </c>
      <c r="K50" s="12">
        <v>-0.124542</v>
      </c>
      <c r="L50" s="12">
        <v>-0.137698</v>
      </c>
      <c r="M50" s="12">
        <v>-0.144773</v>
      </c>
      <c r="N50" s="12">
        <v>-0.137394</v>
      </c>
      <c r="O50" s="12">
        <v>-0.146128</v>
      </c>
      <c r="P50" s="12">
        <v>-0.148977</v>
      </c>
      <c r="Q50" s="12">
        <v>-0.141692</v>
      </c>
      <c r="R50" s="12">
        <v>-0.15052</v>
      </c>
      <c r="S50" s="12">
        <v>-0.143337</v>
      </c>
      <c r="T50" s="12">
        <v>-0.145419</v>
      </c>
      <c r="U50" s="12">
        <v>-0.138789</v>
      </c>
      <c r="V50" s="12">
        <v>-0.111936</v>
      </c>
      <c r="W50" s="12">
        <v>-0.168121</v>
      </c>
      <c r="X50" s="12">
        <v>-0.177719</v>
      </c>
      <c r="Y50" s="12">
        <v>-0.171311</v>
      </c>
      <c r="Z50" s="12">
        <v>-0.170498</v>
      </c>
      <c r="AA50" s="12">
        <v>-0.16966</v>
      </c>
      <c r="AB50" s="12">
        <v>-0.167246</v>
      </c>
      <c r="AC50" s="12">
        <v>-0.166016</v>
      </c>
      <c r="AD50" s="12">
        <v>-0.166841</v>
      </c>
      <c r="AE50" s="12">
        <v>-0.15941</v>
      </c>
      <c r="AF50" s="12">
        <v>-0.166505</v>
      </c>
      <c r="AG50" s="12">
        <v>-0.153936</v>
      </c>
      <c r="AH50" s="12">
        <v>-0.13612</v>
      </c>
      <c r="AI50" s="12">
        <v>-0.157289</v>
      </c>
      <c r="AJ50" s="12">
        <v>-0.111443</v>
      </c>
      <c r="AK50" s="12">
        <v>-0.152973</v>
      </c>
      <c r="AL50" s="12">
        <v>-0.149902</v>
      </c>
      <c r="AM50" s="12">
        <v>0.127691</v>
      </c>
      <c r="AN50" s="12">
        <v>0.120078</v>
      </c>
      <c r="AO50" s="12">
        <v>0.128714</v>
      </c>
      <c r="AP50" s="12">
        <v>0.123431</v>
      </c>
      <c r="AQ50" s="12">
        <v>0.189433</v>
      </c>
      <c r="AR50" s="12">
        <v>0.201814</v>
      </c>
      <c r="AS50" s="12">
        <v>0.201462</v>
      </c>
      <c r="AT50" s="12">
        <v>0.199511</v>
      </c>
      <c r="AU50" s="12">
        <v>0.203006</v>
      </c>
      <c r="AV50" s="12">
        <v>0.225772</v>
      </c>
      <c r="AW50" s="12">
        <v>1.216503</v>
      </c>
      <c r="AX50" s="12">
        <v>0.547285</v>
      </c>
      <c r="AY50" s="12">
        <v>0.485081</v>
      </c>
      <c r="AZ50" s="12">
        <v>0.199535</v>
      </c>
      <c r="BA50" s="12">
        <v>0.189043</v>
      </c>
      <c r="BB50" s="12">
        <v>0.208235</v>
      </c>
      <c r="BC50" s="12">
        <v>0.139048</v>
      </c>
      <c r="BD50" s="12">
        <v>0.122372</v>
      </c>
      <c r="BE50" s="12">
        <v>0.107664</v>
      </c>
      <c r="BF50" s="12">
        <v>0.240191</v>
      </c>
      <c r="BG50" s="12">
        <v>0.317984</v>
      </c>
      <c r="BH50" s="12">
        <v>0.177089</v>
      </c>
      <c r="BI50" s="12">
        <v>-0.026273</v>
      </c>
      <c r="BJ50" s="12">
        <v>-0.019186</v>
      </c>
      <c r="BK50" s="12">
        <v>-0.026443</v>
      </c>
    </row>
    <row r="51" spans="1:63">
      <c r="A51" s="12" t="s">
        <v>109</v>
      </c>
      <c r="B51" s="12">
        <v>-0.090012</v>
      </c>
      <c r="C51" s="12">
        <v>-0.14433</v>
      </c>
      <c r="D51" s="12">
        <v>-0.149636</v>
      </c>
      <c r="E51" s="12">
        <v>-0.166694</v>
      </c>
      <c r="F51" s="12">
        <v>-0.118078</v>
      </c>
      <c r="G51" s="12">
        <v>-0.165657</v>
      </c>
      <c r="H51" s="12">
        <v>-0.153942</v>
      </c>
      <c r="I51" s="12">
        <v>-0.141932</v>
      </c>
      <c r="J51" s="12">
        <v>-0.151614</v>
      </c>
      <c r="K51" s="12">
        <v>-0.133347</v>
      </c>
      <c r="L51" s="12">
        <v>-0.144299</v>
      </c>
      <c r="M51" s="12">
        <v>-0.150858</v>
      </c>
      <c r="N51" s="12">
        <v>-0.143031</v>
      </c>
      <c r="O51" s="12">
        <v>-0.154028</v>
      </c>
      <c r="P51" s="12">
        <v>-0.157425</v>
      </c>
      <c r="Q51" s="12">
        <v>-0.146092</v>
      </c>
      <c r="R51" s="12">
        <v>-0.156355</v>
      </c>
      <c r="S51" s="12">
        <v>-0.150779</v>
      </c>
      <c r="T51" s="12">
        <v>-0.14598</v>
      </c>
      <c r="U51" s="12">
        <v>-0.140864</v>
      </c>
      <c r="V51" s="12">
        <v>-0.118368</v>
      </c>
      <c r="W51" s="12">
        <v>-0.171135</v>
      </c>
      <c r="X51" s="12">
        <v>-0.177716</v>
      </c>
      <c r="Y51" s="12">
        <v>-0.174749</v>
      </c>
      <c r="Z51" s="12">
        <v>-0.174188</v>
      </c>
      <c r="AA51" s="12">
        <v>-0.176252</v>
      </c>
      <c r="AB51" s="12">
        <v>-0.170869</v>
      </c>
      <c r="AC51" s="12">
        <v>-0.171616</v>
      </c>
      <c r="AD51" s="12">
        <v>-0.172369</v>
      </c>
      <c r="AE51" s="12">
        <v>-0.162708</v>
      </c>
      <c r="AF51" s="12">
        <v>-0.17237</v>
      </c>
      <c r="AG51" s="12">
        <v>-0.159067</v>
      </c>
      <c r="AH51" s="12">
        <v>-0.142136</v>
      </c>
      <c r="AI51" s="12">
        <v>-0.162588</v>
      </c>
      <c r="AJ51" s="12">
        <v>-0.116011</v>
      </c>
      <c r="AK51" s="12">
        <v>-0.154803</v>
      </c>
      <c r="AL51" s="12">
        <v>-0.148063</v>
      </c>
      <c r="AM51" s="12">
        <v>0.115535</v>
      </c>
      <c r="AN51" s="12">
        <v>0.118965</v>
      </c>
      <c r="AO51" s="12">
        <v>0.119287</v>
      </c>
      <c r="AP51" s="12">
        <v>0.119893</v>
      </c>
      <c r="AQ51" s="12">
        <v>0.180235</v>
      </c>
      <c r="AR51" s="12">
        <v>0.200085</v>
      </c>
      <c r="AS51" s="12">
        <v>0.207715</v>
      </c>
      <c r="AT51" s="12">
        <v>0.186559</v>
      </c>
      <c r="AU51" s="12">
        <v>0.203694</v>
      </c>
      <c r="AV51" s="12">
        <v>0.221668</v>
      </c>
      <c r="AW51" s="12">
        <v>0.547285</v>
      </c>
      <c r="AX51" s="12">
        <v>1.224102</v>
      </c>
      <c r="AY51" s="12">
        <v>0.455141</v>
      </c>
      <c r="AZ51" s="12">
        <v>0.200943</v>
      </c>
      <c r="BA51" s="12">
        <v>0.189624</v>
      </c>
      <c r="BB51" s="12">
        <v>0.214651</v>
      </c>
      <c r="BC51" s="12">
        <v>0.127355</v>
      </c>
      <c r="BD51" s="12">
        <v>0.11826</v>
      </c>
      <c r="BE51" s="12">
        <v>0.093882</v>
      </c>
      <c r="BF51" s="12">
        <v>0.232857</v>
      </c>
      <c r="BG51" s="12">
        <v>0.332197</v>
      </c>
      <c r="BH51" s="12">
        <v>0.172095</v>
      </c>
      <c r="BI51" s="12">
        <v>-0.030097</v>
      </c>
      <c r="BJ51" s="12">
        <v>-0.025802</v>
      </c>
      <c r="BK51" s="12">
        <v>-0.030966</v>
      </c>
    </row>
    <row r="52" spans="1:63">
      <c r="A52" s="12" t="s">
        <v>111</v>
      </c>
      <c r="B52" s="12">
        <v>-0.078198</v>
      </c>
      <c r="C52" s="12">
        <v>-0.133877</v>
      </c>
      <c r="D52" s="12">
        <v>-0.140284</v>
      </c>
      <c r="E52" s="12">
        <v>-0.163944</v>
      </c>
      <c r="F52" s="12">
        <v>-0.109246</v>
      </c>
      <c r="G52" s="12">
        <v>-0.161658</v>
      </c>
      <c r="H52" s="12">
        <v>-0.147839</v>
      </c>
      <c r="I52" s="12">
        <v>-0.135222</v>
      </c>
      <c r="J52" s="12">
        <v>-0.145917</v>
      </c>
      <c r="K52" s="12">
        <v>-0.122185</v>
      </c>
      <c r="L52" s="12">
        <v>-0.136355</v>
      </c>
      <c r="M52" s="12">
        <v>-0.14248</v>
      </c>
      <c r="N52" s="12">
        <v>-0.135173</v>
      </c>
      <c r="O52" s="12">
        <v>-0.1427</v>
      </c>
      <c r="P52" s="12">
        <v>-0.146275</v>
      </c>
      <c r="Q52" s="12">
        <v>-0.139608</v>
      </c>
      <c r="R52" s="12">
        <v>-0.1481</v>
      </c>
      <c r="S52" s="12">
        <v>-0.141542</v>
      </c>
      <c r="T52" s="12">
        <v>-0.142404</v>
      </c>
      <c r="U52" s="12">
        <v>-0.136296</v>
      </c>
      <c r="V52" s="12">
        <v>-0.109142</v>
      </c>
      <c r="W52" s="12">
        <v>-0.1662</v>
      </c>
      <c r="X52" s="12">
        <v>-0.177237</v>
      </c>
      <c r="Y52" s="12">
        <v>-0.170417</v>
      </c>
      <c r="Z52" s="12">
        <v>-0.171363</v>
      </c>
      <c r="AA52" s="12">
        <v>-0.170997</v>
      </c>
      <c r="AB52" s="12">
        <v>-0.166914</v>
      </c>
      <c r="AC52" s="12">
        <v>-0.166227</v>
      </c>
      <c r="AD52" s="12">
        <v>-0.165589</v>
      </c>
      <c r="AE52" s="12">
        <v>-0.159295</v>
      </c>
      <c r="AF52" s="12">
        <v>-0.166636</v>
      </c>
      <c r="AG52" s="12">
        <v>-0.153568</v>
      </c>
      <c r="AH52" s="12">
        <v>-0.136206</v>
      </c>
      <c r="AI52" s="12">
        <v>-0.157918</v>
      </c>
      <c r="AJ52" s="12">
        <v>-0.109755</v>
      </c>
      <c r="AK52" s="12">
        <v>-0.153668</v>
      </c>
      <c r="AL52" s="12">
        <v>-0.150351</v>
      </c>
      <c r="AM52" s="12">
        <v>0.126272</v>
      </c>
      <c r="AN52" s="12">
        <v>0.12966</v>
      </c>
      <c r="AO52" s="12">
        <v>0.133708</v>
      </c>
      <c r="AP52" s="12">
        <v>0.133486</v>
      </c>
      <c r="AQ52" s="12">
        <v>0.20602</v>
      </c>
      <c r="AR52" s="12">
        <v>0.207117</v>
      </c>
      <c r="AS52" s="12">
        <v>0.221236</v>
      </c>
      <c r="AT52" s="12">
        <v>0.193328</v>
      </c>
      <c r="AU52" s="12">
        <v>0.200441</v>
      </c>
      <c r="AV52" s="12">
        <v>0.222879</v>
      </c>
      <c r="AW52" s="12">
        <v>0.485081</v>
      </c>
      <c r="AX52" s="12">
        <v>0.455141</v>
      </c>
      <c r="AY52" s="12">
        <v>1.155933</v>
      </c>
      <c r="AZ52" s="12">
        <v>0.194481</v>
      </c>
      <c r="BA52" s="12">
        <v>0.18499</v>
      </c>
      <c r="BB52" s="12">
        <v>0.199908</v>
      </c>
      <c r="BC52" s="12">
        <v>0.147825</v>
      </c>
      <c r="BD52" s="12">
        <v>0.131871</v>
      </c>
      <c r="BE52" s="12">
        <v>0.112862</v>
      </c>
      <c r="BF52" s="12">
        <v>0.230176</v>
      </c>
      <c r="BG52" s="12">
        <v>0.315125</v>
      </c>
      <c r="BH52" s="12">
        <v>0.182779</v>
      </c>
      <c r="BI52" s="12">
        <v>-0.022358</v>
      </c>
      <c r="BJ52" s="12">
        <v>-0.015455</v>
      </c>
      <c r="BK52" s="12">
        <v>-0.02211</v>
      </c>
    </row>
    <row r="53" spans="1:63">
      <c r="A53" s="12" t="s">
        <v>113</v>
      </c>
      <c r="B53" s="12">
        <v>-0.085254</v>
      </c>
      <c r="C53" s="12">
        <v>-0.142206</v>
      </c>
      <c r="D53" s="12">
        <v>-0.147888</v>
      </c>
      <c r="E53" s="12">
        <v>-0.169265</v>
      </c>
      <c r="F53" s="12">
        <v>-0.113993</v>
      </c>
      <c r="G53" s="12">
        <v>-0.168383</v>
      </c>
      <c r="H53" s="12">
        <v>-0.154883</v>
      </c>
      <c r="I53" s="12">
        <v>-0.140026</v>
      </c>
      <c r="J53" s="12">
        <v>-0.15239</v>
      </c>
      <c r="K53" s="12">
        <v>-0.128341</v>
      </c>
      <c r="L53" s="12">
        <v>-0.142414</v>
      </c>
      <c r="M53" s="12">
        <v>-0.148095</v>
      </c>
      <c r="N53" s="12">
        <v>-0.141023</v>
      </c>
      <c r="O53" s="12">
        <v>-0.153537</v>
      </c>
      <c r="P53" s="12">
        <v>-0.153123</v>
      </c>
      <c r="Q53" s="12">
        <v>-0.149521</v>
      </c>
      <c r="R53" s="12">
        <v>-0.154897</v>
      </c>
      <c r="S53" s="12">
        <v>-0.14605</v>
      </c>
      <c r="T53" s="12">
        <v>-0.153461</v>
      </c>
      <c r="U53" s="12">
        <v>-0.144903</v>
      </c>
      <c r="V53" s="12">
        <v>-0.115747</v>
      </c>
      <c r="W53" s="12">
        <v>-0.171463</v>
      </c>
      <c r="X53" s="12">
        <v>-0.18352</v>
      </c>
      <c r="Y53" s="12">
        <v>-0.175189</v>
      </c>
      <c r="Z53" s="12">
        <v>-0.177876</v>
      </c>
      <c r="AA53" s="12">
        <v>-0.176593</v>
      </c>
      <c r="AB53" s="12">
        <v>-0.173544</v>
      </c>
      <c r="AC53" s="12">
        <v>-0.17265</v>
      </c>
      <c r="AD53" s="12">
        <v>-0.172528</v>
      </c>
      <c r="AE53" s="12">
        <v>-0.164923</v>
      </c>
      <c r="AF53" s="12">
        <v>-0.17383</v>
      </c>
      <c r="AG53" s="12">
        <v>-0.158541</v>
      </c>
      <c r="AH53" s="12">
        <v>-0.138739</v>
      </c>
      <c r="AI53" s="12">
        <v>-0.162178</v>
      </c>
      <c r="AJ53" s="12">
        <v>-0.114598</v>
      </c>
      <c r="AK53" s="12">
        <v>-0.160806</v>
      </c>
      <c r="AL53" s="12">
        <v>-0.157174</v>
      </c>
      <c r="AM53" s="12">
        <v>0.124376</v>
      </c>
      <c r="AN53" s="12">
        <v>0.128393</v>
      </c>
      <c r="AO53" s="12">
        <v>0.13304</v>
      </c>
      <c r="AP53" s="12">
        <v>0.131961</v>
      </c>
      <c r="AQ53" s="12">
        <v>0.143664</v>
      </c>
      <c r="AR53" s="12">
        <v>0.166316</v>
      </c>
      <c r="AS53" s="12">
        <v>0.162762</v>
      </c>
      <c r="AT53" s="12">
        <v>0.327622</v>
      </c>
      <c r="AU53" s="12">
        <v>0.314351</v>
      </c>
      <c r="AV53" s="12">
        <v>0.370891</v>
      </c>
      <c r="AW53" s="12">
        <v>0.199535</v>
      </c>
      <c r="AX53" s="12">
        <v>0.200943</v>
      </c>
      <c r="AY53" s="12">
        <v>0.194481</v>
      </c>
      <c r="AZ53" s="12">
        <v>1.219686</v>
      </c>
      <c r="BA53" s="12">
        <v>0.581841</v>
      </c>
      <c r="BB53" s="12">
        <v>0.43516</v>
      </c>
      <c r="BC53" s="12">
        <v>0.14939</v>
      </c>
      <c r="BD53" s="12">
        <v>0.120413</v>
      </c>
      <c r="BE53" s="12">
        <v>0.106853</v>
      </c>
      <c r="BF53" s="12">
        <v>0.154554</v>
      </c>
      <c r="BG53" s="12">
        <v>0.182422</v>
      </c>
      <c r="BH53" s="12">
        <v>0.118904</v>
      </c>
      <c r="BI53" s="12">
        <v>-0.028811</v>
      </c>
      <c r="BJ53" s="12">
        <v>-0.021681</v>
      </c>
      <c r="BK53" s="12">
        <v>-0.028159</v>
      </c>
    </row>
    <row r="54" spans="1:63">
      <c r="A54" s="12" t="s">
        <v>115</v>
      </c>
      <c r="B54" s="12">
        <v>-0.076849</v>
      </c>
      <c r="C54" s="12">
        <v>-0.133533</v>
      </c>
      <c r="D54" s="12">
        <v>-0.138906</v>
      </c>
      <c r="E54" s="12">
        <v>-0.16703</v>
      </c>
      <c r="F54" s="12">
        <v>-0.109731</v>
      </c>
      <c r="G54" s="12">
        <v>-0.165637</v>
      </c>
      <c r="H54" s="12">
        <v>-0.146868</v>
      </c>
      <c r="I54" s="12">
        <v>-0.129882</v>
      </c>
      <c r="J54" s="12">
        <v>-0.141321</v>
      </c>
      <c r="K54" s="12">
        <v>-0.124849</v>
      </c>
      <c r="L54" s="12">
        <v>-0.13425</v>
      </c>
      <c r="M54" s="12">
        <v>-0.146417</v>
      </c>
      <c r="N54" s="12">
        <v>-0.132944</v>
      </c>
      <c r="O54" s="12">
        <v>-0.153807</v>
      </c>
      <c r="P54" s="12">
        <v>-0.15163</v>
      </c>
      <c r="Q54" s="12">
        <v>-0.147021</v>
      </c>
      <c r="R54" s="12">
        <v>-0.152182</v>
      </c>
      <c r="S54" s="12">
        <v>-0.14361</v>
      </c>
      <c r="T54" s="12">
        <v>-0.150041</v>
      </c>
      <c r="U54" s="12">
        <v>-0.142532</v>
      </c>
      <c r="V54" s="12">
        <v>-0.113465</v>
      </c>
      <c r="W54" s="12">
        <v>-0.170567</v>
      </c>
      <c r="X54" s="12">
        <v>-0.182196</v>
      </c>
      <c r="Y54" s="12">
        <v>-0.174719</v>
      </c>
      <c r="Z54" s="12">
        <v>-0.17593</v>
      </c>
      <c r="AA54" s="12">
        <v>-0.17397</v>
      </c>
      <c r="AB54" s="12">
        <v>-0.170793</v>
      </c>
      <c r="AC54" s="12">
        <v>-0.171885</v>
      </c>
      <c r="AD54" s="12">
        <v>-0.172117</v>
      </c>
      <c r="AE54" s="12">
        <v>-0.162122</v>
      </c>
      <c r="AF54" s="12">
        <v>-0.170634</v>
      </c>
      <c r="AG54" s="12">
        <v>-0.155109</v>
      </c>
      <c r="AH54" s="12">
        <v>-0.135627</v>
      </c>
      <c r="AI54" s="12">
        <v>-0.159301</v>
      </c>
      <c r="AJ54" s="12">
        <v>-0.111104</v>
      </c>
      <c r="AK54" s="12">
        <v>-0.157851</v>
      </c>
      <c r="AL54" s="12">
        <v>-0.153746</v>
      </c>
      <c r="AM54" s="12">
        <v>0.127115</v>
      </c>
      <c r="AN54" s="12">
        <v>0.129469</v>
      </c>
      <c r="AO54" s="12">
        <v>0.133329</v>
      </c>
      <c r="AP54" s="12">
        <v>0.128999</v>
      </c>
      <c r="AQ54" s="12">
        <v>0.150074</v>
      </c>
      <c r="AR54" s="12">
        <v>0.165429</v>
      </c>
      <c r="AS54" s="12">
        <v>0.169671</v>
      </c>
      <c r="AT54" s="12">
        <v>0.298953</v>
      </c>
      <c r="AU54" s="12">
        <v>0.303106</v>
      </c>
      <c r="AV54" s="12">
        <v>0.342216</v>
      </c>
      <c r="AW54" s="12">
        <v>0.189043</v>
      </c>
      <c r="AX54" s="12">
        <v>0.189624</v>
      </c>
      <c r="AY54" s="12">
        <v>0.18499</v>
      </c>
      <c r="AZ54" s="12">
        <v>0.581841</v>
      </c>
      <c r="BA54" s="12">
        <v>1.188038</v>
      </c>
      <c r="BB54" s="12">
        <v>0.400862</v>
      </c>
      <c r="BC54" s="12">
        <v>0.147298</v>
      </c>
      <c r="BD54" s="12">
        <v>0.116009</v>
      </c>
      <c r="BE54" s="12">
        <v>0.111534</v>
      </c>
      <c r="BF54" s="12">
        <v>0.160868</v>
      </c>
      <c r="BG54" s="12">
        <v>0.179484</v>
      </c>
      <c r="BH54" s="12">
        <v>0.120671</v>
      </c>
      <c r="BI54" s="12">
        <v>-0.024736</v>
      </c>
      <c r="BJ54" s="12">
        <v>-0.018143</v>
      </c>
      <c r="BK54" s="12">
        <v>-0.023546</v>
      </c>
    </row>
    <row r="55" spans="1:63">
      <c r="A55" s="12" t="s">
        <v>117</v>
      </c>
      <c r="B55" s="12">
        <v>-0.079957</v>
      </c>
      <c r="C55" s="12">
        <v>-0.138243</v>
      </c>
      <c r="D55" s="12">
        <v>-0.142993</v>
      </c>
      <c r="E55" s="12">
        <v>-0.162976</v>
      </c>
      <c r="F55" s="12">
        <v>-0.108907</v>
      </c>
      <c r="G55" s="12">
        <v>-0.16138</v>
      </c>
      <c r="H55" s="12">
        <v>-0.148705</v>
      </c>
      <c r="I55" s="12">
        <v>-0.134868</v>
      </c>
      <c r="J55" s="12">
        <v>-0.147996</v>
      </c>
      <c r="K55" s="12">
        <v>-0.122549</v>
      </c>
      <c r="L55" s="12">
        <v>-0.137484</v>
      </c>
      <c r="M55" s="12">
        <v>-0.143688</v>
      </c>
      <c r="N55" s="12">
        <v>-0.136446</v>
      </c>
      <c r="O55" s="12">
        <v>-0.149162</v>
      </c>
      <c r="P55" s="12">
        <v>-0.148731</v>
      </c>
      <c r="Q55" s="12">
        <v>-0.14327</v>
      </c>
      <c r="R55" s="12">
        <v>-0.148938</v>
      </c>
      <c r="S55" s="12">
        <v>-0.140106</v>
      </c>
      <c r="T55" s="12">
        <v>-0.147031</v>
      </c>
      <c r="U55" s="12">
        <v>-0.140087</v>
      </c>
      <c r="V55" s="12">
        <v>-0.111471</v>
      </c>
      <c r="W55" s="12">
        <v>-0.163459</v>
      </c>
      <c r="X55" s="12">
        <v>-0.174178</v>
      </c>
      <c r="Y55" s="12">
        <v>-0.166201</v>
      </c>
      <c r="Z55" s="12">
        <v>-0.170542</v>
      </c>
      <c r="AA55" s="12">
        <v>-0.168173</v>
      </c>
      <c r="AB55" s="12">
        <v>-0.164271</v>
      </c>
      <c r="AC55" s="12">
        <v>-0.164841</v>
      </c>
      <c r="AD55" s="12">
        <v>-0.16368</v>
      </c>
      <c r="AE55" s="12">
        <v>-0.155596</v>
      </c>
      <c r="AF55" s="12">
        <v>-0.163663</v>
      </c>
      <c r="AG55" s="12">
        <v>-0.148613</v>
      </c>
      <c r="AH55" s="12">
        <v>-0.131233</v>
      </c>
      <c r="AI55" s="12">
        <v>-0.152846</v>
      </c>
      <c r="AJ55" s="12">
        <v>-0.105128</v>
      </c>
      <c r="AK55" s="12">
        <v>-0.149945</v>
      </c>
      <c r="AL55" s="12">
        <v>-0.148243</v>
      </c>
      <c r="AM55" s="12">
        <v>0.123384</v>
      </c>
      <c r="AN55" s="12">
        <v>0.127388</v>
      </c>
      <c r="AO55" s="12">
        <v>0.131343</v>
      </c>
      <c r="AP55" s="12">
        <v>0.125389</v>
      </c>
      <c r="AQ55" s="12">
        <v>0.14832</v>
      </c>
      <c r="AR55" s="12">
        <v>0.16596</v>
      </c>
      <c r="AS55" s="12">
        <v>0.160207</v>
      </c>
      <c r="AT55" s="12">
        <v>0.302723</v>
      </c>
      <c r="AU55" s="12">
        <v>0.3001</v>
      </c>
      <c r="AV55" s="12">
        <v>0.353584</v>
      </c>
      <c r="AW55" s="12">
        <v>0.208235</v>
      </c>
      <c r="AX55" s="12">
        <v>0.214651</v>
      </c>
      <c r="AY55" s="12">
        <v>0.199908</v>
      </c>
      <c r="AZ55" s="12">
        <v>0.43516</v>
      </c>
      <c r="BA55" s="12">
        <v>0.400862</v>
      </c>
      <c r="BB55" s="12">
        <v>1.184928</v>
      </c>
      <c r="BC55" s="12">
        <v>0.137768</v>
      </c>
      <c r="BD55" s="12">
        <v>0.114444</v>
      </c>
      <c r="BE55" s="12">
        <v>0.110631</v>
      </c>
      <c r="BF55" s="12">
        <v>0.163848</v>
      </c>
      <c r="BG55" s="12">
        <v>0.193651</v>
      </c>
      <c r="BH55" s="12">
        <v>0.125169</v>
      </c>
      <c r="BI55" s="12">
        <v>-0.024192</v>
      </c>
      <c r="BJ55" s="12">
        <v>-0.01768</v>
      </c>
      <c r="BK55" s="12">
        <v>-0.02327</v>
      </c>
    </row>
    <row r="56" spans="1:63">
      <c r="A56" s="12" t="s">
        <v>119</v>
      </c>
      <c r="B56" s="12">
        <v>-0.081279</v>
      </c>
      <c r="C56" s="12">
        <v>-0.135934</v>
      </c>
      <c r="D56" s="12">
        <v>-0.140543</v>
      </c>
      <c r="E56" s="12">
        <v>-0.165327</v>
      </c>
      <c r="F56" s="12">
        <v>-0.101418</v>
      </c>
      <c r="G56" s="12">
        <v>-0.164681</v>
      </c>
      <c r="H56" s="12">
        <v>-0.148827</v>
      </c>
      <c r="I56" s="12">
        <v>-0.133124</v>
      </c>
      <c r="J56" s="12">
        <v>-0.146383</v>
      </c>
      <c r="K56" s="12">
        <v>-0.120049</v>
      </c>
      <c r="L56" s="12">
        <v>-0.13577</v>
      </c>
      <c r="M56" s="12">
        <v>-0.142794</v>
      </c>
      <c r="N56" s="12">
        <v>-0.135696</v>
      </c>
      <c r="O56" s="12">
        <v>-0.150365</v>
      </c>
      <c r="P56" s="12">
        <v>-0.148927</v>
      </c>
      <c r="Q56" s="12">
        <v>-0.143078</v>
      </c>
      <c r="R56" s="12">
        <v>-0.149407</v>
      </c>
      <c r="S56" s="12">
        <v>-0.139567</v>
      </c>
      <c r="T56" s="12">
        <v>-0.147443</v>
      </c>
      <c r="U56" s="12">
        <v>-0.138415</v>
      </c>
      <c r="V56" s="12">
        <v>-0.106069</v>
      </c>
      <c r="W56" s="12">
        <v>-0.17007</v>
      </c>
      <c r="X56" s="12">
        <v>-0.183215</v>
      </c>
      <c r="Y56" s="12">
        <v>-0.175614</v>
      </c>
      <c r="Z56" s="12">
        <v>-0.177933</v>
      </c>
      <c r="AA56" s="12">
        <v>-0.176911</v>
      </c>
      <c r="AB56" s="12">
        <v>-0.171891</v>
      </c>
      <c r="AC56" s="12">
        <v>-0.172102</v>
      </c>
      <c r="AD56" s="12">
        <v>-0.171196</v>
      </c>
      <c r="AE56" s="12">
        <v>-0.163009</v>
      </c>
      <c r="AF56" s="12">
        <v>-0.170673</v>
      </c>
      <c r="AG56" s="12">
        <v>-0.154955</v>
      </c>
      <c r="AH56" s="12">
        <v>-0.13395</v>
      </c>
      <c r="AI56" s="12">
        <v>-0.160331</v>
      </c>
      <c r="AJ56" s="12">
        <v>-0.104953</v>
      </c>
      <c r="AK56" s="12">
        <v>-0.159135</v>
      </c>
      <c r="AL56" s="12">
        <v>-0.157019</v>
      </c>
      <c r="AM56" s="12">
        <v>0.30969</v>
      </c>
      <c r="AN56" s="12">
        <v>0.327319</v>
      </c>
      <c r="AO56" s="12">
        <v>0.317752</v>
      </c>
      <c r="AP56" s="12">
        <v>0.326252</v>
      </c>
      <c r="AQ56" s="12">
        <v>0.217115</v>
      </c>
      <c r="AR56" s="12">
        <v>0.21452</v>
      </c>
      <c r="AS56" s="12">
        <v>0.231211</v>
      </c>
      <c r="AT56" s="12">
        <v>0.138469</v>
      </c>
      <c r="AU56" s="12">
        <v>0.157421</v>
      </c>
      <c r="AV56" s="12">
        <v>0.152245</v>
      </c>
      <c r="AW56" s="12">
        <v>0.139048</v>
      </c>
      <c r="AX56" s="12">
        <v>0.127355</v>
      </c>
      <c r="AY56" s="12">
        <v>0.147825</v>
      </c>
      <c r="AZ56" s="12">
        <v>0.14939</v>
      </c>
      <c r="BA56" s="12">
        <v>0.147298</v>
      </c>
      <c r="BB56" s="12">
        <v>0.137768</v>
      </c>
      <c r="BC56" s="12">
        <v>1.081843</v>
      </c>
      <c r="BD56" s="12">
        <v>0.417609</v>
      </c>
      <c r="BE56" s="12">
        <v>0.370683</v>
      </c>
      <c r="BF56" s="12">
        <v>0.141377</v>
      </c>
      <c r="BG56" s="12">
        <v>0.132421</v>
      </c>
      <c r="BH56" s="12">
        <v>0.112134</v>
      </c>
      <c r="BI56" s="12">
        <v>-0.027734</v>
      </c>
      <c r="BJ56" s="12">
        <v>-0.015655</v>
      </c>
      <c r="BK56" s="12">
        <v>-0.024045</v>
      </c>
    </row>
    <row r="57" spans="1:63">
      <c r="A57" s="12" t="s">
        <v>121</v>
      </c>
      <c r="B57" s="12">
        <v>-0.079301</v>
      </c>
      <c r="C57" s="12">
        <v>-0.13272</v>
      </c>
      <c r="D57" s="12">
        <v>-0.137429</v>
      </c>
      <c r="E57" s="12">
        <v>-0.16524</v>
      </c>
      <c r="F57" s="12">
        <v>-0.101692</v>
      </c>
      <c r="G57" s="12">
        <v>-0.164508</v>
      </c>
      <c r="H57" s="12">
        <v>-0.146575</v>
      </c>
      <c r="I57" s="12">
        <v>-0.130448</v>
      </c>
      <c r="J57" s="12">
        <v>-0.145134</v>
      </c>
      <c r="K57" s="12">
        <v>-0.117373</v>
      </c>
      <c r="L57" s="12">
        <v>-0.133694</v>
      </c>
      <c r="M57" s="12">
        <v>-0.140437</v>
      </c>
      <c r="N57" s="12">
        <v>-0.132832</v>
      </c>
      <c r="O57" s="12">
        <v>-0.148273</v>
      </c>
      <c r="P57" s="12">
        <v>-0.146784</v>
      </c>
      <c r="Q57" s="12">
        <v>-0.141247</v>
      </c>
      <c r="R57" s="12">
        <v>-0.146752</v>
      </c>
      <c r="S57" s="12">
        <v>-0.137929</v>
      </c>
      <c r="T57" s="12">
        <v>-0.146006</v>
      </c>
      <c r="U57" s="12">
        <v>-0.137713</v>
      </c>
      <c r="V57" s="12">
        <v>-0.104584</v>
      </c>
      <c r="W57" s="12">
        <v>-0.170696</v>
      </c>
      <c r="X57" s="12">
        <v>-0.183996</v>
      </c>
      <c r="Y57" s="12">
        <v>-0.175904</v>
      </c>
      <c r="Z57" s="12">
        <v>-0.178893</v>
      </c>
      <c r="AA57" s="12">
        <v>-0.177178</v>
      </c>
      <c r="AB57" s="12">
        <v>-0.172579</v>
      </c>
      <c r="AC57" s="12">
        <v>-0.17304</v>
      </c>
      <c r="AD57" s="12">
        <v>-0.172462</v>
      </c>
      <c r="AE57" s="12">
        <v>-0.163446</v>
      </c>
      <c r="AF57" s="12">
        <v>-0.172761</v>
      </c>
      <c r="AG57" s="12">
        <v>-0.154381</v>
      </c>
      <c r="AH57" s="12">
        <v>-0.133428</v>
      </c>
      <c r="AI57" s="12">
        <v>-0.160154</v>
      </c>
      <c r="AJ57" s="12">
        <v>-0.104162</v>
      </c>
      <c r="AK57" s="12">
        <v>-0.159542</v>
      </c>
      <c r="AL57" s="12">
        <v>-0.156579</v>
      </c>
      <c r="AM57" s="12">
        <v>0.295443</v>
      </c>
      <c r="AN57" s="12">
        <v>0.303907</v>
      </c>
      <c r="AO57" s="12">
        <v>0.280179</v>
      </c>
      <c r="AP57" s="12">
        <v>0.295814</v>
      </c>
      <c r="AQ57" s="12">
        <v>0.197406</v>
      </c>
      <c r="AR57" s="12">
        <v>0.186065</v>
      </c>
      <c r="AS57" s="12">
        <v>0.207872</v>
      </c>
      <c r="AT57" s="12">
        <v>0.128074</v>
      </c>
      <c r="AU57" s="12">
        <v>0.142162</v>
      </c>
      <c r="AV57" s="12">
        <v>0.14088</v>
      </c>
      <c r="AW57" s="12">
        <v>0.122372</v>
      </c>
      <c r="AX57" s="12">
        <v>0.11826</v>
      </c>
      <c r="AY57" s="12">
        <v>0.131871</v>
      </c>
      <c r="AZ57" s="12">
        <v>0.120413</v>
      </c>
      <c r="BA57" s="12">
        <v>0.116009</v>
      </c>
      <c r="BB57" s="12">
        <v>0.114444</v>
      </c>
      <c r="BC57" s="12">
        <v>0.417609</v>
      </c>
      <c r="BD57" s="12">
        <v>1.275723</v>
      </c>
      <c r="BE57" s="12">
        <v>0.484347</v>
      </c>
      <c r="BF57" s="12">
        <v>0.122375</v>
      </c>
      <c r="BG57" s="12">
        <v>0.127932</v>
      </c>
      <c r="BH57" s="12">
        <v>0.107994</v>
      </c>
      <c r="BI57" s="12">
        <v>-0.026796</v>
      </c>
      <c r="BJ57" s="12">
        <v>-0.016577</v>
      </c>
      <c r="BK57" s="12">
        <v>-0.024812</v>
      </c>
    </row>
    <row r="58" spans="1:63">
      <c r="A58" s="12" t="s">
        <v>123</v>
      </c>
      <c r="B58" s="12">
        <v>-0.061099</v>
      </c>
      <c r="C58" s="12">
        <v>-0.112374</v>
      </c>
      <c r="D58" s="12">
        <v>-0.119408</v>
      </c>
      <c r="E58" s="12">
        <v>-0.150442</v>
      </c>
      <c r="F58" s="12">
        <v>-0.076682</v>
      </c>
      <c r="G58" s="12">
        <v>-0.148882</v>
      </c>
      <c r="H58" s="12">
        <v>-0.129394</v>
      </c>
      <c r="I58" s="12">
        <v>-0.110091</v>
      </c>
      <c r="J58" s="12">
        <v>-0.126204</v>
      </c>
      <c r="K58" s="12">
        <v>-0.096414</v>
      </c>
      <c r="L58" s="12">
        <v>-0.114325</v>
      </c>
      <c r="M58" s="12">
        <v>-0.123351</v>
      </c>
      <c r="N58" s="12">
        <v>-0.114345</v>
      </c>
      <c r="O58" s="12">
        <v>-0.130967</v>
      </c>
      <c r="P58" s="12">
        <v>-0.130873</v>
      </c>
      <c r="Q58" s="12">
        <v>-0.122007</v>
      </c>
      <c r="R58" s="12">
        <v>-0.131297</v>
      </c>
      <c r="S58" s="12">
        <v>-0.120131</v>
      </c>
      <c r="T58" s="12">
        <v>-0.131444</v>
      </c>
      <c r="U58" s="12">
        <v>-0.119761</v>
      </c>
      <c r="V58" s="12">
        <v>-0.080891</v>
      </c>
      <c r="W58" s="12">
        <v>-0.156471</v>
      </c>
      <c r="X58" s="12">
        <v>-0.173283</v>
      </c>
      <c r="Y58" s="12">
        <v>-0.163463</v>
      </c>
      <c r="Z58" s="12">
        <v>-0.167801</v>
      </c>
      <c r="AA58" s="12">
        <v>-0.166627</v>
      </c>
      <c r="AB58" s="12">
        <v>-0.159506</v>
      </c>
      <c r="AC58" s="12">
        <v>-0.159929</v>
      </c>
      <c r="AD58" s="12">
        <v>-0.159502</v>
      </c>
      <c r="AE58" s="12">
        <v>-0.150306</v>
      </c>
      <c r="AF58" s="12">
        <v>-0.160376</v>
      </c>
      <c r="AG58" s="12">
        <v>-0.138623</v>
      </c>
      <c r="AH58" s="12">
        <v>-0.11311</v>
      </c>
      <c r="AI58" s="12">
        <v>-0.144989</v>
      </c>
      <c r="AJ58" s="12">
        <v>-0.082627</v>
      </c>
      <c r="AK58" s="12">
        <v>-0.148203</v>
      </c>
      <c r="AL58" s="12">
        <v>-0.145159</v>
      </c>
      <c r="AM58" s="12">
        <v>0.274668</v>
      </c>
      <c r="AN58" s="12">
        <v>0.269481</v>
      </c>
      <c r="AO58" s="12">
        <v>0.272656</v>
      </c>
      <c r="AP58" s="12">
        <v>0.271787</v>
      </c>
      <c r="AQ58" s="12">
        <v>0.179718</v>
      </c>
      <c r="AR58" s="12">
        <v>0.163599</v>
      </c>
      <c r="AS58" s="12">
        <v>0.179533</v>
      </c>
      <c r="AT58" s="12">
        <v>0.120844</v>
      </c>
      <c r="AU58" s="12">
        <v>0.125901</v>
      </c>
      <c r="AV58" s="12">
        <v>0.11408</v>
      </c>
      <c r="AW58" s="12">
        <v>0.107664</v>
      </c>
      <c r="AX58" s="12">
        <v>0.093882</v>
      </c>
      <c r="AY58" s="12">
        <v>0.112862</v>
      </c>
      <c r="AZ58" s="12">
        <v>0.106853</v>
      </c>
      <c r="BA58" s="12">
        <v>0.111534</v>
      </c>
      <c r="BB58" s="12">
        <v>0.110631</v>
      </c>
      <c r="BC58" s="12">
        <v>0.370683</v>
      </c>
      <c r="BD58" s="12">
        <v>0.484347</v>
      </c>
      <c r="BE58" s="12">
        <v>0.948013</v>
      </c>
      <c r="BF58" s="12">
        <v>0.127218</v>
      </c>
      <c r="BG58" s="12">
        <v>0.108723</v>
      </c>
      <c r="BH58" s="12">
        <v>0.127403</v>
      </c>
      <c r="BI58" s="12">
        <v>-0.008699</v>
      </c>
      <c r="BJ58" s="12">
        <v>0.005927</v>
      </c>
      <c r="BK58" s="12">
        <v>-0.004824</v>
      </c>
    </row>
    <row r="59" spans="1:63">
      <c r="A59" s="12" t="s">
        <v>125</v>
      </c>
      <c r="B59" s="12">
        <v>-0.061944</v>
      </c>
      <c r="C59" s="12">
        <v>-0.116768</v>
      </c>
      <c r="D59" s="12">
        <v>-0.122907</v>
      </c>
      <c r="E59" s="12">
        <v>-0.149698</v>
      </c>
      <c r="F59" s="12">
        <v>-0.084614</v>
      </c>
      <c r="G59" s="12">
        <v>-0.149002</v>
      </c>
      <c r="H59" s="12">
        <v>-0.131269</v>
      </c>
      <c r="I59" s="12">
        <v>-0.114761</v>
      </c>
      <c r="J59" s="12">
        <v>-0.128589</v>
      </c>
      <c r="K59" s="12">
        <v>-0.102052</v>
      </c>
      <c r="L59" s="12">
        <v>-0.117625</v>
      </c>
      <c r="M59" s="12">
        <v>-0.126618</v>
      </c>
      <c r="N59" s="12">
        <v>-0.117028</v>
      </c>
      <c r="O59" s="12">
        <v>-0.132739</v>
      </c>
      <c r="P59" s="12">
        <v>-0.132043</v>
      </c>
      <c r="Q59" s="12">
        <v>-0.125856</v>
      </c>
      <c r="R59" s="12">
        <v>-0.130401</v>
      </c>
      <c r="S59" s="12">
        <v>-0.120397</v>
      </c>
      <c r="T59" s="12">
        <v>-0.131354</v>
      </c>
      <c r="U59" s="12">
        <v>-0.12275</v>
      </c>
      <c r="V59" s="12">
        <v>-0.088711</v>
      </c>
      <c r="W59" s="12">
        <v>-0.154847</v>
      </c>
      <c r="X59" s="12">
        <v>-0.169725</v>
      </c>
      <c r="Y59" s="12">
        <v>-0.160753</v>
      </c>
      <c r="Z59" s="12">
        <v>-0.164769</v>
      </c>
      <c r="AA59" s="12">
        <v>-0.163029</v>
      </c>
      <c r="AB59" s="12">
        <v>-0.156999</v>
      </c>
      <c r="AC59" s="12">
        <v>-0.157899</v>
      </c>
      <c r="AD59" s="12">
        <v>-0.158642</v>
      </c>
      <c r="AE59" s="12">
        <v>-0.148392</v>
      </c>
      <c r="AF59" s="12">
        <v>-0.158697</v>
      </c>
      <c r="AG59" s="12">
        <v>-0.138228</v>
      </c>
      <c r="AH59" s="12">
        <v>-0.11677</v>
      </c>
      <c r="AI59" s="12">
        <v>-0.143818</v>
      </c>
      <c r="AJ59" s="12">
        <v>-0.087807</v>
      </c>
      <c r="AK59" s="12">
        <v>-0.146052</v>
      </c>
      <c r="AL59" s="12">
        <v>-0.141695</v>
      </c>
      <c r="AM59" s="12">
        <v>0.135618</v>
      </c>
      <c r="AN59" s="12">
        <v>0.131037</v>
      </c>
      <c r="AO59" s="12">
        <v>0.134043</v>
      </c>
      <c r="AP59" s="12">
        <v>0.131749</v>
      </c>
      <c r="AQ59" s="12">
        <v>0.193663</v>
      </c>
      <c r="AR59" s="12">
        <v>0.202135</v>
      </c>
      <c r="AS59" s="12">
        <v>0.194982</v>
      </c>
      <c r="AT59" s="12">
        <v>0.157068</v>
      </c>
      <c r="AU59" s="12">
        <v>0.167245</v>
      </c>
      <c r="AV59" s="12">
        <v>0.17031</v>
      </c>
      <c r="AW59" s="12">
        <v>0.240191</v>
      </c>
      <c r="AX59" s="12">
        <v>0.232857</v>
      </c>
      <c r="AY59" s="12">
        <v>0.230176</v>
      </c>
      <c r="AZ59" s="12">
        <v>0.154554</v>
      </c>
      <c r="BA59" s="12">
        <v>0.160868</v>
      </c>
      <c r="BB59" s="12">
        <v>0.163848</v>
      </c>
      <c r="BC59" s="12">
        <v>0.141377</v>
      </c>
      <c r="BD59" s="12">
        <v>0.122375</v>
      </c>
      <c r="BE59" s="12">
        <v>0.127218</v>
      </c>
      <c r="BF59" s="12">
        <v>1.05556</v>
      </c>
      <c r="BG59" s="12">
        <v>0.390524</v>
      </c>
      <c r="BH59" s="12">
        <v>0.268263</v>
      </c>
      <c r="BI59" s="12">
        <v>-0.008496</v>
      </c>
      <c r="BJ59" s="12">
        <v>0.003843</v>
      </c>
      <c r="BK59" s="12">
        <v>-0.004885</v>
      </c>
    </row>
    <row r="60" spans="1:63">
      <c r="A60" s="12" t="s">
        <v>127</v>
      </c>
      <c r="B60" s="12">
        <v>-0.078739</v>
      </c>
      <c r="C60" s="12">
        <v>-0.135601</v>
      </c>
      <c r="D60" s="12">
        <v>-0.140435</v>
      </c>
      <c r="E60" s="12">
        <v>-0.163521</v>
      </c>
      <c r="F60" s="12">
        <v>-0.107792</v>
      </c>
      <c r="G60" s="12">
        <v>-0.16197</v>
      </c>
      <c r="H60" s="12">
        <v>-0.148974</v>
      </c>
      <c r="I60" s="12">
        <v>-0.134333</v>
      </c>
      <c r="J60" s="12">
        <v>-0.146759</v>
      </c>
      <c r="K60" s="12">
        <v>-0.122932</v>
      </c>
      <c r="L60" s="12">
        <v>-0.136294</v>
      </c>
      <c r="M60" s="12">
        <v>-0.143657</v>
      </c>
      <c r="N60" s="12">
        <v>-0.135867</v>
      </c>
      <c r="O60" s="12">
        <v>-0.148155</v>
      </c>
      <c r="P60" s="12">
        <v>-0.147514</v>
      </c>
      <c r="Q60" s="12">
        <v>-0.141449</v>
      </c>
      <c r="R60" s="12">
        <v>-0.148412</v>
      </c>
      <c r="S60" s="12">
        <v>-0.139962</v>
      </c>
      <c r="T60" s="12">
        <v>-0.144931</v>
      </c>
      <c r="U60" s="12">
        <v>-0.138318</v>
      </c>
      <c r="V60" s="12">
        <v>-0.110503</v>
      </c>
      <c r="W60" s="12">
        <v>-0.166863</v>
      </c>
      <c r="X60" s="12">
        <v>-0.17917</v>
      </c>
      <c r="Y60" s="12">
        <v>-0.17206</v>
      </c>
      <c r="Z60" s="12">
        <v>-0.173592</v>
      </c>
      <c r="AA60" s="12">
        <v>-0.171849</v>
      </c>
      <c r="AB60" s="12">
        <v>-0.167782</v>
      </c>
      <c r="AC60" s="12">
        <v>-0.167466</v>
      </c>
      <c r="AD60" s="12">
        <v>-0.166997</v>
      </c>
      <c r="AE60" s="12">
        <v>-0.158948</v>
      </c>
      <c r="AF60" s="12">
        <v>-0.166735</v>
      </c>
      <c r="AG60" s="12">
        <v>-0.152536</v>
      </c>
      <c r="AH60" s="12">
        <v>-0.134326</v>
      </c>
      <c r="AI60" s="12">
        <v>-0.156467</v>
      </c>
      <c r="AJ60" s="12">
        <v>-0.107191</v>
      </c>
      <c r="AK60" s="12">
        <v>-0.153222</v>
      </c>
      <c r="AL60" s="12">
        <v>-0.150395</v>
      </c>
      <c r="AM60" s="12">
        <v>0.123965</v>
      </c>
      <c r="AN60" s="12">
        <v>0.125479</v>
      </c>
      <c r="AO60" s="12">
        <v>0.125073</v>
      </c>
      <c r="AP60" s="12">
        <v>0.129526</v>
      </c>
      <c r="AQ60" s="12">
        <v>0.217243</v>
      </c>
      <c r="AR60" s="12">
        <v>0.226338</v>
      </c>
      <c r="AS60" s="12">
        <v>0.223385</v>
      </c>
      <c r="AT60" s="12">
        <v>0.197998</v>
      </c>
      <c r="AU60" s="12">
        <v>0.193301</v>
      </c>
      <c r="AV60" s="12">
        <v>0.213981</v>
      </c>
      <c r="AW60" s="12">
        <v>0.317984</v>
      </c>
      <c r="AX60" s="12">
        <v>0.332197</v>
      </c>
      <c r="AY60" s="12">
        <v>0.315125</v>
      </c>
      <c r="AZ60" s="12">
        <v>0.182422</v>
      </c>
      <c r="BA60" s="12">
        <v>0.179484</v>
      </c>
      <c r="BB60" s="12">
        <v>0.193651</v>
      </c>
      <c r="BC60" s="12">
        <v>0.132421</v>
      </c>
      <c r="BD60" s="12">
        <v>0.127932</v>
      </c>
      <c r="BE60" s="12">
        <v>0.108723</v>
      </c>
      <c r="BF60" s="12">
        <v>0.390524</v>
      </c>
      <c r="BG60" s="12">
        <v>1.205416</v>
      </c>
      <c r="BH60" s="12">
        <v>0.294051</v>
      </c>
      <c r="BI60" s="12">
        <v>-0.023902</v>
      </c>
      <c r="BJ60" s="12">
        <v>-0.016411</v>
      </c>
      <c r="BK60" s="12">
        <v>-0.022937</v>
      </c>
    </row>
    <row r="61" spans="1:63">
      <c r="A61" s="12" t="s">
        <v>129</v>
      </c>
      <c r="B61" s="12">
        <v>-0.039043</v>
      </c>
      <c r="C61" s="12">
        <v>-0.092399</v>
      </c>
      <c r="D61" s="12">
        <v>-0.09965</v>
      </c>
      <c r="E61" s="12">
        <v>-0.129267</v>
      </c>
      <c r="F61" s="12">
        <v>-0.05088</v>
      </c>
      <c r="G61" s="12">
        <v>-0.128015</v>
      </c>
      <c r="H61" s="12">
        <v>-0.109489</v>
      </c>
      <c r="I61" s="12">
        <v>-0.089451</v>
      </c>
      <c r="J61" s="12">
        <v>-0.105483</v>
      </c>
      <c r="K61" s="12">
        <v>-0.073884</v>
      </c>
      <c r="L61" s="12">
        <v>-0.092875</v>
      </c>
      <c r="M61" s="12">
        <v>-0.103751</v>
      </c>
      <c r="N61" s="12">
        <v>-0.093635</v>
      </c>
      <c r="O61" s="12">
        <v>-0.112627</v>
      </c>
      <c r="P61" s="12">
        <v>-0.109561</v>
      </c>
      <c r="Q61" s="12">
        <v>-0.102792</v>
      </c>
      <c r="R61" s="12">
        <v>-0.111057</v>
      </c>
      <c r="S61" s="12">
        <v>-0.099654</v>
      </c>
      <c r="T61" s="12">
        <v>-0.111937</v>
      </c>
      <c r="U61" s="12">
        <v>-0.100585</v>
      </c>
      <c r="V61" s="12">
        <v>-0.059165</v>
      </c>
      <c r="W61" s="12">
        <v>-0.132972</v>
      </c>
      <c r="X61" s="12">
        <v>-0.15104</v>
      </c>
      <c r="Y61" s="12">
        <v>-0.140708</v>
      </c>
      <c r="Z61" s="12">
        <v>-0.145954</v>
      </c>
      <c r="AA61" s="12">
        <v>-0.144262</v>
      </c>
      <c r="AB61" s="12">
        <v>-0.1371</v>
      </c>
      <c r="AC61" s="12">
        <v>-0.13902</v>
      </c>
      <c r="AD61" s="12">
        <v>-0.138824</v>
      </c>
      <c r="AE61" s="12">
        <v>-0.127805</v>
      </c>
      <c r="AF61" s="12">
        <v>-0.138284</v>
      </c>
      <c r="AG61" s="12">
        <v>-0.115242</v>
      </c>
      <c r="AH61" s="12">
        <v>-0.088803</v>
      </c>
      <c r="AI61" s="12">
        <v>-0.12209</v>
      </c>
      <c r="AJ61" s="12">
        <v>-0.055767</v>
      </c>
      <c r="AK61" s="12">
        <v>-0.12729</v>
      </c>
      <c r="AL61" s="12">
        <v>-0.124116</v>
      </c>
      <c r="AM61" s="12">
        <v>0.133917</v>
      </c>
      <c r="AN61" s="12">
        <v>0.137301</v>
      </c>
      <c r="AO61" s="12">
        <v>0.128663</v>
      </c>
      <c r="AP61" s="12">
        <v>0.132005</v>
      </c>
      <c r="AQ61" s="12">
        <v>0.1503</v>
      </c>
      <c r="AR61" s="12">
        <v>0.152821</v>
      </c>
      <c r="AS61" s="12">
        <v>0.136845</v>
      </c>
      <c r="AT61" s="12">
        <v>0.133295</v>
      </c>
      <c r="AU61" s="12">
        <v>0.126293</v>
      </c>
      <c r="AV61" s="12">
        <v>0.121422</v>
      </c>
      <c r="AW61" s="12">
        <v>0.177089</v>
      </c>
      <c r="AX61" s="12">
        <v>0.172095</v>
      </c>
      <c r="AY61" s="12">
        <v>0.182779</v>
      </c>
      <c r="AZ61" s="12">
        <v>0.118904</v>
      </c>
      <c r="BA61" s="12">
        <v>0.120671</v>
      </c>
      <c r="BB61" s="12">
        <v>0.125169</v>
      </c>
      <c r="BC61" s="12">
        <v>0.112134</v>
      </c>
      <c r="BD61" s="12">
        <v>0.107994</v>
      </c>
      <c r="BE61" s="12">
        <v>0.127403</v>
      </c>
      <c r="BF61" s="12">
        <v>0.268263</v>
      </c>
      <c r="BG61" s="12">
        <v>0.294051</v>
      </c>
      <c r="BH61" s="12">
        <v>0.804224</v>
      </c>
      <c r="BI61" s="12">
        <v>0.015502</v>
      </c>
      <c r="BJ61" s="12">
        <v>0.031242</v>
      </c>
      <c r="BK61" s="12">
        <v>0.018788</v>
      </c>
    </row>
    <row r="62" spans="1:63">
      <c r="A62" s="12" t="s">
        <v>151</v>
      </c>
      <c r="B62" s="12">
        <v>0.024505</v>
      </c>
      <c r="C62" s="12">
        <v>-0.004242</v>
      </c>
      <c r="D62" s="12">
        <v>-0.007563</v>
      </c>
      <c r="E62" s="12">
        <v>-0.06265</v>
      </c>
      <c r="F62" s="12">
        <v>-0.022195</v>
      </c>
      <c r="G62" s="12">
        <v>-0.061817</v>
      </c>
      <c r="H62" s="12">
        <v>-0.012074</v>
      </c>
      <c r="I62" s="12">
        <v>-0.006223</v>
      </c>
      <c r="J62" s="12">
        <v>-0.0131</v>
      </c>
      <c r="K62" s="12">
        <v>0.003273</v>
      </c>
      <c r="L62" s="12">
        <v>-0.003591</v>
      </c>
      <c r="M62" s="12">
        <v>-0.006103</v>
      </c>
      <c r="N62" s="12">
        <v>-0.000701</v>
      </c>
      <c r="O62" s="12">
        <v>-0.008518</v>
      </c>
      <c r="P62" s="12">
        <v>-0.005004</v>
      </c>
      <c r="Q62" s="12">
        <v>-0.007065</v>
      </c>
      <c r="R62" s="12">
        <v>-0.004473</v>
      </c>
      <c r="S62" s="12">
        <v>-0.004686</v>
      </c>
      <c r="T62" s="12">
        <v>0.001498</v>
      </c>
      <c r="U62" s="12">
        <v>0.00676</v>
      </c>
      <c r="V62" s="12">
        <v>0.012122</v>
      </c>
      <c r="W62" s="12">
        <v>-0.100584</v>
      </c>
      <c r="X62" s="12">
        <v>-0.109331</v>
      </c>
      <c r="Y62" s="12">
        <v>-0.102486</v>
      </c>
      <c r="Z62" s="12">
        <v>-0.103914</v>
      </c>
      <c r="AA62" s="12">
        <v>-0.10171</v>
      </c>
      <c r="AB62" s="12">
        <v>-0.099851</v>
      </c>
      <c r="AC62" s="12">
        <v>-0.099322</v>
      </c>
      <c r="AD62" s="12">
        <v>-0.098232</v>
      </c>
      <c r="AE62" s="12">
        <v>-0.094023</v>
      </c>
      <c r="AF62" s="12">
        <v>-0.097311</v>
      </c>
      <c r="AG62" s="12">
        <v>-0.088939</v>
      </c>
      <c r="AH62" s="12">
        <v>-0.075579</v>
      </c>
      <c r="AI62" s="12">
        <v>-0.092919</v>
      </c>
      <c r="AJ62" s="12">
        <v>-0.050409</v>
      </c>
      <c r="AK62" s="12">
        <v>-0.085464</v>
      </c>
      <c r="AL62" s="12">
        <v>-0.083274</v>
      </c>
      <c r="AM62" s="12">
        <v>-0.022111</v>
      </c>
      <c r="AN62" s="12">
        <v>-0.027734</v>
      </c>
      <c r="AO62" s="12">
        <v>-0.024461</v>
      </c>
      <c r="AP62" s="12">
        <v>-0.023922</v>
      </c>
      <c r="AQ62" s="12">
        <v>-0.028723</v>
      </c>
      <c r="AR62" s="12">
        <v>-0.029418</v>
      </c>
      <c r="AS62" s="12">
        <v>-0.0309</v>
      </c>
      <c r="AT62" s="12">
        <v>-0.023459</v>
      </c>
      <c r="AU62" s="12">
        <v>-0.023326</v>
      </c>
      <c r="AV62" s="12">
        <v>-0.031882</v>
      </c>
      <c r="AW62" s="12">
        <v>-0.026273</v>
      </c>
      <c r="AX62" s="12">
        <v>-0.030097</v>
      </c>
      <c r="AY62" s="12">
        <v>-0.022358</v>
      </c>
      <c r="AZ62" s="12">
        <v>-0.028811</v>
      </c>
      <c r="BA62" s="12">
        <v>-0.024736</v>
      </c>
      <c r="BB62" s="12">
        <v>-0.024192</v>
      </c>
      <c r="BC62" s="12">
        <v>-0.027734</v>
      </c>
      <c r="BD62" s="12">
        <v>-0.026796</v>
      </c>
      <c r="BE62" s="12">
        <v>-0.008699</v>
      </c>
      <c r="BF62" s="12">
        <v>-0.008496</v>
      </c>
      <c r="BG62" s="12">
        <v>-0.023902</v>
      </c>
      <c r="BH62" s="12">
        <v>0.015502</v>
      </c>
      <c r="BI62" s="12">
        <v>0.967311</v>
      </c>
      <c r="BJ62" s="12">
        <v>0.557707</v>
      </c>
      <c r="BK62" s="12">
        <v>0.596937</v>
      </c>
    </row>
    <row r="63" spans="1:63">
      <c r="A63" s="12" t="s">
        <v>154</v>
      </c>
      <c r="B63" s="12">
        <v>0.024462</v>
      </c>
      <c r="C63" s="12">
        <v>-0.008435</v>
      </c>
      <c r="D63" s="12">
        <v>-0.011578</v>
      </c>
      <c r="E63" s="12">
        <v>-0.065543</v>
      </c>
      <c r="F63" s="12">
        <v>-0.017067</v>
      </c>
      <c r="G63" s="12">
        <v>-0.064968</v>
      </c>
      <c r="H63" s="12">
        <v>-0.017606</v>
      </c>
      <c r="I63" s="12">
        <v>-0.008171</v>
      </c>
      <c r="J63" s="12">
        <v>-0.017335</v>
      </c>
      <c r="K63" s="12">
        <v>0.00106</v>
      </c>
      <c r="L63" s="12">
        <v>-0.007822</v>
      </c>
      <c r="M63" s="12">
        <v>-0.011673</v>
      </c>
      <c r="N63" s="12">
        <v>-0.005622</v>
      </c>
      <c r="O63" s="12">
        <v>-0.015527</v>
      </c>
      <c r="P63" s="12">
        <v>-0.011459</v>
      </c>
      <c r="Q63" s="12">
        <v>-0.012005</v>
      </c>
      <c r="R63" s="12">
        <v>-0.011063</v>
      </c>
      <c r="S63" s="12">
        <v>-0.008588</v>
      </c>
      <c r="T63" s="12">
        <v>-0.007947</v>
      </c>
      <c r="U63" s="12">
        <v>0.000233</v>
      </c>
      <c r="V63" s="12">
        <v>0.010949</v>
      </c>
      <c r="W63" s="12">
        <v>-0.100347</v>
      </c>
      <c r="X63" s="12">
        <v>-0.111543</v>
      </c>
      <c r="Y63" s="12">
        <v>-0.103694</v>
      </c>
      <c r="Z63" s="12">
        <v>-0.106058</v>
      </c>
      <c r="AA63" s="12">
        <v>-0.103627</v>
      </c>
      <c r="AB63" s="12">
        <v>-0.101626</v>
      </c>
      <c r="AC63" s="12">
        <v>-0.100413</v>
      </c>
      <c r="AD63" s="12">
        <v>-0.098738</v>
      </c>
      <c r="AE63" s="12">
        <v>-0.09255</v>
      </c>
      <c r="AF63" s="12">
        <v>-0.098957</v>
      </c>
      <c r="AG63" s="12">
        <v>-0.088534</v>
      </c>
      <c r="AH63" s="12">
        <v>-0.071138</v>
      </c>
      <c r="AI63" s="12">
        <v>-0.092194</v>
      </c>
      <c r="AJ63" s="12">
        <v>-0.045618</v>
      </c>
      <c r="AK63" s="12">
        <v>-0.08758</v>
      </c>
      <c r="AL63" s="12">
        <v>-0.084223</v>
      </c>
      <c r="AM63" s="12">
        <v>-0.008438</v>
      </c>
      <c r="AN63" s="12">
        <v>-0.013972</v>
      </c>
      <c r="AO63" s="12">
        <v>-0.010867</v>
      </c>
      <c r="AP63" s="12">
        <v>-0.009961</v>
      </c>
      <c r="AQ63" s="12">
        <v>-0.017522</v>
      </c>
      <c r="AR63" s="12">
        <v>-0.019727</v>
      </c>
      <c r="AS63" s="12">
        <v>-0.02314</v>
      </c>
      <c r="AT63" s="12">
        <v>-0.015439</v>
      </c>
      <c r="AU63" s="12">
        <v>-0.01608</v>
      </c>
      <c r="AV63" s="12">
        <v>-0.026483</v>
      </c>
      <c r="AW63" s="12">
        <v>-0.019186</v>
      </c>
      <c r="AX63" s="12">
        <v>-0.025802</v>
      </c>
      <c r="AY63" s="12">
        <v>-0.015455</v>
      </c>
      <c r="AZ63" s="12">
        <v>-0.021681</v>
      </c>
      <c r="BA63" s="12">
        <v>-0.018143</v>
      </c>
      <c r="BB63" s="12">
        <v>-0.01768</v>
      </c>
      <c r="BC63" s="12">
        <v>-0.015655</v>
      </c>
      <c r="BD63" s="12">
        <v>-0.016577</v>
      </c>
      <c r="BE63" s="12">
        <v>0.005927</v>
      </c>
      <c r="BF63" s="12">
        <v>0.003843</v>
      </c>
      <c r="BG63" s="12">
        <v>-0.016411</v>
      </c>
      <c r="BH63" s="12">
        <v>0.031242</v>
      </c>
      <c r="BI63" s="12">
        <v>0.557707</v>
      </c>
      <c r="BJ63" s="12">
        <v>0.888874</v>
      </c>
      <c r="BK63" s="12">
        <v>0.542517</v>
      </c>
    </row>
    <row r="64" spans="1:63">
      <c r="A64" s="15" t="s">
        <v>156</v>
      </c>
      <c r="B64" s="15">
        <v>0.025002</v>
      </c>
      <c r="C64" s="15">
        <v>-0.005103</v>
      </c>
      <c r="D64" s="15">
        <v>-0.007092</v>
      </c>
      <c r="E64" s="15">
        <v>-0.062591</v>
      </c>
      <c r="F64" s="15">
        <v>-0.021973</v>
      </c>
      <c r="G64" s="15">
        <v>-0.062752</v>
      </c>
      <c r="H64" s="15">
        <v>-0.011143</v>
      </c>
      <c r="I64" s="15">
        <v>-0.005844</v>
      </c>
      <c r="J64" s="15">
        <v>-0.01327</v>
      </c>
      <c r="K64" s="15">
        <v>0.002984</v>
      </c>
      <c r="L64" s="15">
        <v>-0.003041</v>
      </c>
      <c r="M64" s="15">
        <v>-0.006645</v>
      </c>
      <c r="N64" s="15">
        <v>-0.003053</v>
      </c>
      <c r="O64" s="15">
        <v>-0.009575</v>
      </c>
      <c r="P64" s="15">
        <v>-0.006563</v>
      </c>
      <c r="Q64" s="15">
        <v>-0.007559</v>
      </c>
      <c r="R64" s="15">
        <v>-0.006425</v>
      </c>
      <c r="S64" s="15">
        <v>-0.004056</v>
      </c>
      <c r="T64" s="15">
        <v>0.00055</v>
      </c>
      <c r="U64" s="15">
        <v>0.007529</v>
      </c>
      <c r="V64" s="15">
        <v>0.013262</v>
      </c>
      <c r="W64" s="15">
        <v>-0.100214</v>
      </c>
      <c r="X64" s="15">
        <v>-0.110158</v>
      </c>
      <c r="Y64" s="15">
        <v>-0.103883</v>
      </c>
      <c r="Z64" s="15">
        <v>-0.105524</v>
      </c>
      <c r="AA64" s="15">
        <v>-0.103857</v>
      </c>
      <c r="AB64" s="15">
        <v>-0.100853</v>
      </c>
      <c r="AC64" s="15">
        <v>-0.100028</v>
      </c>
      <c r="AD64" s="15">
        <v>-0.099719</v>
      </c>
      <c r="AE64" s="15">
        <v>-0.094195</v>
      </c>
      <c r="AF64" s="15">
        <v>-0.0979</v>
      </c>
      <c r="AG64" s="15">
        <v>-0.089424</v>
      </c>
      <c r="AH64" s="15">
        <v>-0.07599</v>
      </c>
      <c r="AI64" s="15">
        <v>-0.093334</v>
      </c>
      <c r="AJ64" s="15">
        <v>-0.0503</v>
      </c>
      <c r="AK64" s="15">
        <v>-0.08693</v>
      </c>
      <c r="AL64" s="15">
        <v>-0.084838</v>
      </c>
      <c r="AM64" s="15">
        <v>-0.019391</v>
      </c>
      <c r="AN64" s="15">
        <v>-0.023873</v>
      </c>
      <c r="AO64" s="15">
        <v>-0.021367</v>
      </c>
      <c r="AP64" s="15">
        <v>-0.020618</v>
      </c>
      <c r="AQ64" s="15">
        <v>-0.027277</v>
      </c>
      <c r="AR64" s="15">
        <v>-0.028064</v>
      </c>
      <c r="AS64" s="15">
        <v>-0.029673</v>
      </c>
      <c r="AT64" s="15">
        <v>-0.022733</v>
      </c>
      <c r="AU64" s="15">
        <v>-0.022765</v>
      </c>
      <c r="AV64" s="15">
        <v>-0.03004</v>
      </c>
      <c r="AW64" s="15">
        <v>-0.026443</v>
      </c>
      <c r="AX64" s="15">
        <v>-0.030966</v>
      </c>
      <c r="AY64" s="15">
        <v>-0.02211</v>
      </c>
      <c r="AZ64" s="15">
        <v>-0.028159</v>
      </c>
      <c r="BA64" s="15">
        <v>-0.023546</v>
      </c>
      <c r="BB64" s="15">
        <v>-0.02327</v>
      </c>
      <c r="BC64" s="15">
        <v>-0.024045</v>
      </c>
      <c r="BD64" s="15">
        <v>-0.024812</v>
      </c>
      <c r="BE64" s="15">
        <v>-0.004824</v>
      </c>
      <c r="BF64" s="15">
        <v>-0.004885</v>
      </c>
      <c r="BG64" s="15">
        <v>-0.022937</v>
      </c>
      <c r="BH64" s="15">
        <v>0.018788</v>
      </c>
      <c r="BI64" s="15">
        <v>0.596937</v>
      </c>
      <c r="BJ64" s="15">
        <v>0.542517</v>
      </c>
      <c r="BK64" s="15">
        <v>0.953633</v>
      </c>
    </row>
  </sheetData>
  <mergeCells count="1">
    <mergeCell ref="A1:BK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workbookViewId="0">
      <selection activeCell="A1" sqref="A1:I1"/>
    </sheetView>
  </sheetViews>
  <sheetFormatPr defaultColWidth="9.25" defaultRowHeight="17.6"/>
  <cols>
    <col min="1" max="2" width="16.75" style="2" customWidth="1"/>
    <col min="3" max="3" width="15.5" style="2" customWidth="1"/>
    <col min="4" max="4" width="22.375" style="2" customWidth="1"/>
    <col min="5" max="5" width="20" style="2" customWidth="1"/>
    <col min="6" max="6" width="20.875" style="2" customWidth="1"/>
    <col min="7" max="7" width="33.625" style="2" customWidth="1"/>
    <col min="8" max="8" width="29.75" style="2" customWidth="1"/>
    <col min="9" max="9" width="16.5" style="2" customWidth="1"/>
    <col min="10" max="10" width="19.125" style="2" customWidth="1"/>
    <col min="11" max="14" width="9.25" style="4"/>
    <col min="15" max="15" width="9.75" style="4"/>
    <col min="16" max="16384" width="9.25" style="4"/>
  </cols>
  <sheetData>
    <row r="1" ht="18" spans="1:9">
      <c r="A1" s="44" t="s">
        <v>262</v>
      </c>
      <c r="B1" s="44"/>
      <c r="C1" s="45"/>
      <c r="D1" s="45"/>
      <c r="E1" s="45"/>
      <c r="F1" s="45"/>
      <c r="G1" s="45"/>
      <c r="H1" s="45"/>
      <c r="I1" s="45"/>
    </row>
    <row r="2" ht="22" spans="1:8">
      <c r="A2" s="7" t="s">
        <v>1</v>
      </c>
      <c r="B2" s="46" t="s">
        <v>2</v>
      </c>
      <c r="C2" s="7" t="s">
        <v>263</v>
      </c>
      <c r="D2" s="47" t="s">
        <v>264</v>
      </c>
      <c r="E2" s="47" t="s">
        <v>265</v>
      </c>
      <c r="F2" s="47" t="s">
        <v>266</v>
      </c>
      <c r="G2" s="7" t="s">
        <v>267</v>
      </c>
      <c r="H2" s="7" t="s">
        <v>268</v>
      </c>
    </row>
    <row r="3" spans="1:8">
      <c r="A3" s="48" t="s">
        <v>9</v>
      </c>
      <c r="B3" s="33" t="s">
        <v>10</v>
      </c>
      <c r="C3" s="33" t="s">
        <v>11</v>
      </c>
      <c r="D3" s="3">
        <v>-0.08097</v>
      </c>
      <c r="E3" s="3">
        <v>0.0895</v>
      </c>
      <c r="F3" s="3">
        <v>0.108767225</v>
      </c>
      <c r="G3" s="2">
        <v>86994.9</v>
      </c>
      <c r="H3" s="3">
        <v>0.0243056</v>
      </c>
    </row>
    <row r="4" spans="1:8">
      <c r="A4" s="48" t="s">
        <v>9</v>
      </c>
      <c r="B4" s="33" t="s">
        <v>12</v>
      </c>
      <c r="C4" s="33" t="s">
        <v>13</v>
      </c>
      <c r="D4" s="3">
        <v>0.19306</v>
      </c>
      <c r="E4" s="3"/>
      <c r="F4" s="3">
        <v>0.103783394</v>
      </c>
      <c r="G4" s="2">
        <v>83008.7</v>
      </c>
      <c r="H4" s="3">
        <v>0.0175617</v>
      </c>
    </row>
    <row r="5" spans="1:8">
      <c r="A5" s="48" t="s">
        <v>9</v>
      </c>
      <c r="B5" s="33" t="s">
        <v>14</v>
      </c>
      <c r="C5" s="33" t="s">
        <v>15</v>
      </c>
      <c r="D5" s="3">
        <v>0.12136</v>
      </c>
      <c r="E5" s="3"/>
      <c r="F5" s="3">
        <v>0.113825948</v>
      </c>
      <c r="G5" s="2">
        <v>91041</v>
      </c>
      <c r="H5" s="3">
        <v>0.0181728</v>
      </c>
    </row>
    <row r="6" spans="1:8">
      <c r="A6" s="48" t="s">
        <v>9</v>
      </c>
      <c r="B6" s="33" t="s">
        <v>16</v>
      </c>
      <c r="C6" s="33" t="s">
        <v>17</v>
      </c>
      <c r="D6" s="3">
        <v>-0.25766</v>
      </c>
      <c r="E6" s="3"/>
      <c r="F6" s="3">
        <v>0.148047123</v>
      </c>
      <c r="G6" s="2">
        <v>118412</v>
      </c>
      <c r="H6" s="3">
        <v>0.0263025</v>
      </c>
    </row>
    <row r="7" spans="1:8">
      <c r="A7" s="48" t="s">
        <v>9</v>
      </c>
      <c r="B7" s="33" t="s">
        <v>18</v>
      </c>
      <c r="C7" s="33" t="s">
        <v>19</v>
      </c>
      <c r="D7" s="3">
        <v>0.37434</v>
      </c>
      <c r="E7" s="3"/>
      <c r="F7" s="3">
        <v>0.134749238</v>
      </c>
      <c r="G7" s="2">
        <v>107776</v>
      </c>
      <c r="H7" s="3">
        <v>0.0223948</v>
      </c>
    </row>
    <row r="8" spans="1:8">
      <c r="A8" s="48" t="s">
        <v>9</v>
      </c>
      <c r="B8" s="33" t="s">
        <v>20</v>
      </c>
      <c r="C8" s="33" t="s">
        <v>21</v>
      </c>
      <c r="D8" s="3">
        <v>-0.26242</v>
      </c>
      <c r="E8" s="3"/>
      <c r="F8" s="3">
        <v>0.154272224</v>
      </c>
      <c r="G8" s="2">
        <v>123391</v>
      </c>
      <c r="H8" s="3">
        <v>0.0262392</v>
      </c>
    </row>
    <row r="9" spans="1:8">
      <c r="A9" s="48" t="s">
        <v>9</v>
      </c>
      <c r="B9" s="33" t="s">
        <v>22</v>
      </c>
      <c r="C9" s="33" t="s">
        <v>23</v>
      </c>
      <c r="D9" s="3">
        <v>0.10021</v>
      </c>
      <c r="E9" s="3"/>
      <c r="F9" s="3">
        <v>0.119383154</v>
      </c>
      <c r="G9" s="2">
        <v>95485.8</v>
      </c>
      <c r="H9" s="3">
        <v>0.0178351</v>
      </c>
    </row>
    <row r="10" spans="1:8">
      <c r="A10" s="48" t="s">
        <v>9</v>
      </c>
      <c r="B10" s="33" t="s">
        <v>24</v>
      </c>
      <c r="C10" s="33" t="s">
        <v>25</v>
      </c>
      <c r="D10" s="3">
        <v>0.19417</v>
      </c>
      <c r="E10" s="3"/>
      <c r="F10" s="3">
        <v>0.11975636</v>
      </c>
      <c r="G10" s="2">
        <v>95784.3</v>
      </c>
      <c r="H10" s="3">
        <v>0.0186456</v>
      </c>
    </row>
    <row r="11" spans="1:8">
      <c r="A11" s="48" t="s">
        <v>9</v>
      </c>
      <c r="B11" s="33" t="s">
        <v>26</v>
      </c>
      <c r="C11" s="33" t="s">
        <v>27</v>
      </c>
      <c r="D11" s="3">
        <v>0.1876</v>
      </c>
      <c r="E11" s="3"/>
      <c r="F11" s="3">
        <v>0.105819711</v>
      </c>
      <c r="G11" s="2">
        <v>84637.4</v>
      </c>
      <c r="H11" s="3">
        <v>0.0166478</v>
      </c>
    </row>
    <row r="12" spans="1:8">
      <c r="A12" s="48" t="s">
        <v>9</v>
      </c>
      <c r="B12" s="33" t="s">
        <v>28</v>
      </c>
      <c r="C12" s="33" t="s">
        <v>29</v>
      </c>
      <c r="D12" s="3">
        <v>0.25613</v>
      </c>
      <c r="E12" s="3"/>
      <c r="F12" s="3">
        <v>0.102698909</v>
      </c>
      <c r="G12" s="2">
        <v>82141.3</v>
      </c>
      <c r="H12" s="3">
        <v>0.0185014</v>
      </c>
    </row>
    <row r="13" spans="1:8">
      <c r="A13" s="48" t="s">
        <v>9</v>
      </c>
      <c r="B13" s="33" t="s">
        <v>30</v>
      </c>
      <c r="C13" s="33" t="s">
        <v>31</v>
      </c>
      <c r="D13" s="3">
        <v>0.14443</v>
      </c>
      <c r="E13" s="3"/>
      <c r="F13" s="3">
        <v>0.108297123</v>
      </c>
      <c r="G13" s="2">
        <v>86618.9</v>
      </c>
      <c r="H13" s="3">
        <v>0.0183623</v>
      </c>
    </row>
    <row r="14" spans="1:8">
      <c r="A14" s="48" t="s">
        <v>9</v>
      </c>
      <c r="B14" s="33" t="s">
        <v>32</v>
      </c>
      <c r="C14" s="33" t="s">
        <v>33</v>
      </c>
      <c r="D14" s="3">
        <v>0.02771</v>
      </c>
      <c r="E14" s="3"/>
      <c r="F14" s="3">
        <v>0.122779016</v>
      </c>
      <c r="G14" s="2">
        <v>98201.9</v>
      </c>
      <c r="H14" s="3">
        <v>0.019256</v>
      </c>
    </row>
    <row r="15" spans="1:8">
      <c r="A15" s="48" t="s">
        <v>9</v>
      </c>
      <c r="B15" s="33" t="s">
        <v>34</v>
      </c>
      <c r="C15" s="33" t="s">
        <v>35</v>
      </c>
      <c r="D15" s="3">
        <v>0.12099</v>
      </c>
      <c r="E15" s="3"/>
      <c r="F15" s="3">
        <v>0.114868674</v>
      </c>
      <c r="G15" s="2">
        <v>91875</v>
      </c>
      <c r="H15" s="3">
        <v>0.0182917</v>
      </c>
    </row>
    <row r="16" spans="1:8">
      <c r="A16" s="48" t="s">
        <v>9</v>
      </c>
      <c r="B16" s="33" t="s">
        <v>36</v>
      </c>
      <c r="C16" s="33" t="s">
        <v>37</v>
      </c>
      <c r="D16" s="3">
        <v>0.01546</v>
      </c>
      <c r="E16" s="3"/>
      <c r="F16" s="3">
        <v>0.118684752</v>
      </c>
      <c r="G16" s="2">
        <v>94927.2</v>
      </c>
      <c r="H16" s="3">
        <v>0.017926</v>
      </c>
    </row>
    <row r="17" spans="1:8">
      <c r="A17" s="48" t="s">
        <v>9</v>
      </c>
      <c r="B17" s="33" t="s">
        <v>38</v>
      </c>
      <c r="C17" s="33" t="s">
        <v>39</v>
      </c>
      <c r="D17" s="3">
        <v>0.0943</v>
      </c>
      <c r="E17" s="3"/>
      <c r="F17" s="3">
        <v>0.116571669</v>
      </c>
      <c r="G17" s="2">
        <v>93237.1</v>
      </c>
      <c r="H17" s="3">
        <v>0.0168478</v>
      </c>
    </row>
    <row r="18" spans="1:8">
      <c r="A18" s="48" t="s">
        <v>9</v>
      </c>
      <c r="B18" s="33" t="s">
        <v>40</v>
      </c>
      <c r="C18" s="33" t="s">
        <v>41</v>
      </c>
      <c r="D18" s="3">
        <v>0.13656</v>
      </c>
      <c r="E18" s="3"/>
      <c r="F18" s="3">
        <v>0.109017405</v>
      </c>
      <c r="G18" s="2">
        <v>87195</v>
      </c>
      <c r="H18" s="3">
        <v>0.0170782</v>
      </c>
    </row>
    <row r="19" spans="1:8">
      <c r="A19" s="48" t="s">
        <v>9</v>
      </c>
      <c r="B19" s="33" t="s">
        <v>42</v>
      </c>
      <c r="C19" s="33" t="s">
        <v>43</v>
      </c>
      <c r="D19" s="3">
        <v>0.08263</v>
      </c>
      <c r="E19" s="3"/>
      <c r="F19" s="3">
        <v>0.119819874</v>
      </c>
      <c r="G19" s="2">
        <v>95835.1</v>
      </c>
      <c r="H19" s="3">
        <v>0.0179735</v>
      </c>
    </row>
    <row r="20" spans="1:8">
      <c r="A20" s="48" t="s">
        <v>9</v>
      </c>
      <c r="B20" s="33" t="s">
        <v>44</v>
      </c>
      <c r="C20" s="33" t="s">
        <v>45</v>
      </c>
      <c r="D20" s="3">
        <v>0.16914</v>
      </c>
      <c r="E20" s="3"/>
      <c r="F20" s="3">
        <v>0.119562443</v>
      </c>
      <c r="G20" s="2">
        <v>95629.2</v>
      </c>
      <c r="H20" s="3">
        <v>0.0176265</v>
      </c>
    </row>
    <row r="21" spans="1:8">
      <c r="A21" s="48" t="s">
        <v>9</v>
      </c>
      <c r="B21" s="33" t="s">
        <v>46</v>
      </c>
      <c r="C21" s="33" t="s">
        <v>47</v>
      </c>
      <c r="D21" s="3">
        <v>-0.07924</v>
      </c>
      <c r="E21" s="3"/>
      <c r="F21" s="3">
        <v>0.119404659</v>
      </c>
      <c r="G21" s="2">
        <v>95503</v>
      </c>
      <c r="H21" s="3">
        <v>0.018676</v>
      </c>
    </row>
    <row r="22" spans="1:8">
      <c r="A22" s="48" t="s">
        <v>9</v>
      </c>
      <c r="B22" s="33" t="s">
        <v>48</v>
      </c>
      <c r="C22" s="33" t="s">
        <v>49</v>
      </c>
      <c r="D22" s="3">
        <v>0.01444</v>
      </c>
      <c r="E22" s="3"/>
      <c r="F22" s="3">
        <v>0.112965636</v>
      </c>
      <c r="G22" s="2">
        <v>90352.9</v>
      </c>
      <c r="H22" s="3">
        <v>0.0189858</v>
      </c>
    </row>
    <row r="23" spans="1:8">
      <c r="A23" s="48" t="s">
        <v>9</v>
      </c>
      <c r="B23" s="33" t="s">
        <v>50</v>
      </c>
      <c r="C23" s="33" t="s">
        <v>51</v>
      </c>
      <c r="D23" s="3">
        <v>0.35383</v>
      </c>
      <c r="E23" s="3"/>
      <c r="F23" s="3">
        <v>0.072347698</v>
      </c>
      <c r="G23" s="2">
        <v>57865.6</v>
      </c>
      <c r="H23" s="3">
        <v>0.0175762</v>
      </c>
    </row>
    <row r="24" spans="1:8">
      <c r="A24" s="48" t="s">
        <v>52</v>
      </c>
      <c r="B24" s="33" t="s">
        <v>53</v>
      </c>
      <c r="C24" s="33" t="s">
        <v>54</v>
      </c>
      <c r="D24" s="3">
        <v>0.11473</v>
      </c>
      <c r="E24" s="3">
        <v>0.0703</v>
      </c>
      <c r="F24" s="3">
        <v>0.103447946</v>
      </c>
      <c r="G24" s="2">
        <v>82740.4</v>
      </c>
      <c r="H24" s="3">
        <v>0.0187581</v>
      </c>
    </row>
    <row r="25" spans="1:8">
      <c r="A25" s="48" t="s">
        <v>52</v>
      </c>
      <c r="B25" s="33" t="s">
        <v>55</v>
      </c>
      <c r="C25" s="33" t="s">
        <v>56</v>
      </c>
      <c r="D25" s="3">
        <v>-0.00015</v>
      </c>
      <c r="E25" s="3"/>
      <c r="F25" s="3">
        <v>0.098662408</v>
      </c>
      <c r="G25" s="2">
        <v>78912.8</v>
      </c>
      <c r="H25" s="3">
        <v>0.0186858</v>
      </c>
    </row>
    <row r="26" spans="1:8">
      <c r="A26" s="48" t="s">
        <v>52</v>
      </c>
      <c r="B26" s="33" t="s">
        <v>57</v>
      </c>
      <c r="C26" s="33" t="s">
        <v>58</v>
      </c>
      <c r="D26" s="3">
        <v>0.05819</v>
      </c>
      <c r="E26" s="3"/>
      <c r="F26" s="3">
        <v>0.109977613</v>
      </c>
      <c r="G26" s="2">
        <v>87963</v>
      </c>
      <c r="H26" s="3">
        <v>0.0191565</v>
      </c>
    </row>
    <row r="27" spans="1:8">
      <c r="A27" s="48" t="s">
        <v>52</v>
      </c>
      <c r="B27" s="33" t="s">
        <v>59</v>
      </c>
      <c r="C27" s="33" t="s">
        <v>60</v>
      </c>
      <c r="D27" s="3">
        <v>-0.02007</v>
      </c>
      <c r="E27" s="3"/>
      <c r="F27" s="3">
        <v>0.110926944</v>
      </c>
      <c r="G27" s="2">
        <v>88722.3</v>
      </c>
      <c r="H27" s="3">
        <v>0.0197508</v>
      </c>
    </row>
    <row r="28" spans="1:8">
      <c r="A28" s="48" t="s">
        <v>52</v>
      </c>
      <c r="B28" s="33" t="s">
        <v>61</v>
      </c>
      <c r="C28" s="33" t="s">
        <v>62</v>
      </c>
      <c r="D28" s="3">
        <v>0.00258</v>
      </c>
      <c r="E28" s="3"/>
      <c r="F28" s="3">
        <v>0.106388459</v>
      </c>
      <c r="G28" s="2">
        <v>85092.3</v>
      </c>
      <c r="H28" s="3">
        <v>0.0191068</v>
      </c>
    </row>
    <row r="29" spans="1:8">
      <c r="A29" s="48" t="s">
        <v>52</v>
      </c>
      <c r="B29" s="33" t="s">
        <v>63</v>
      </c>
      <c r="C29" s="33" t="s">
        <v>64</v>
      </c>
      <c r="D29" s="3">
        <v>0.03284</v>
      </c>
      <c r="E29" s="3"/>
      <c r="F29" s="3">
        <v>0.108872123</v>
      </c>
      <c r="G29" s="2">
        <v>87078.8</v>
      </c>
      <c r="H29" s="3">
        <v>0.0198155</v>
      </c>
    </row>
    <row r="30" spans="1:8">
      <c r="A30" s="48" t="s">
        <v>52</v>
      </c>
      <c r="B30" s="33" t="s">
        <v>65</v>
      </c>
      <c r="C30" s="33" t="s">
        <v>66</v>
      </c>
      <c r="D30" s="3">
        <v>0.03672</v>
      </c>
      <c r="E30" s="3"/>
      <c r="F30" s="3">
        <v>0.108893753</v>
      </c>
      <c r="G30" s="2">
        <v>87096.1</v>
      </c>
      <c r="H30" s="3">
        <v>0.0195717</v>
      </c>
    </row>
    <row r="31" spans="1:8">
      <c r="A31" s="48" t="s">
        <v>52</v>
      </c>
      <c r="B31" s="33" t="s">
        <v>67</v>
      </c>
      <c r="C31" s="33" t="s">
        <v>68</v>
      </c>
      <c r="D31" s="3">
        <v>0.04444</v>
      </c>
      <c r="E31" s="3"/>
      <c r="F31" s="3">
        <v>0.110919818</v>
      </c>
      <c r="G31" s="2">
        <v>88716.6</v>
      </c>
      <c r="H31" s="3">
        <v>0.0193448</v>
      </c>
    </row>
    <row r="32" spans="1:8">
      <c r="A32" s="48" t="s">
        <v>52</v>
      </c>
      <c r="B32" s="33" t="s">
        <v>69</v>
      </c>
      <c r="C32" s="33" t="s">
        <v>70</v>
      </c>
      <c r="D32" s="3">
        <v>0.06442</v>
      </c>
      <c r="E32" s="3"/>
      <c r="F32" s="3">
        <v>0.1147559</v>
      </c>
      <c r="G32" s="2">
        <v>91784.8</v>
      </c>
      <c r="H32" s="3">
        <v>0.0201023</v>
      </c>
    </row>
    <row r="33" spans="1:8">
      <c r="A33" s="48" t="s">
        <v>52</v>
      </c>
      <c r="B33" s="33" t="s">
        <v>71</v>
      </c>
      <c r="C33" s="33" t="s">
        <v>72</v>
      </c>
      <c r="D33" s="3">
        <v>0.01597</v>
      </c>
      <c r="E33" s="3"/>
      <c r="F33" s="3">
        <v>0.118201147</v>
      </c>
      <c r="G33" s="2">
        <v>94540.4</v>
      </c>
      <c r="H33" s="3">
        <v>0.0197914</v>
      </c>
    </row>
    <row r="34" spans="1:8">
      <c r="A34" s="48" t="s">
        <v>52</v>
      </c>
      <c r="B34" s="33" t="s">
        <v>73</v>
      </c>
      <c r="C34" s="33" t="s">
        <v>74</v>
      </c>
      <c r="D34" s="3">
        <v>0.1697</v>
      </c>
      <c r="E34" s="3"/>
      <c r="F34" s="3">
        <v>0.105711562</v>
      </c>
      <c r="G34" s="2">
        <v>84550.9</v>
      </c>
      <c r="H34" s="3">
        <v>0.0192019</v>
      </c>
    </row>
    <row r="35" spans="1:8">
      <c r="A35" s="48" t="s">
        <v>52</v>
      </c>
      <c r="B35" s="33" t="s">
        <v>75</v>
      </c>
      <c r="C35" s="33" t="s">
        <v>76</v>
      </c>
      <c r="D35" s="3">
        <v>0.26103</v>
      </c>
      <c r="E35" s="3"/>
      <c r="F35" s="3">
        <v>0.120527277</v>
      </c>
      <c r="G35" s="2">
        <v>96400.9</v>
      </c>
      <c r="H35" s="3">
        <v>0.020794</v>
      </c>
    </row>
    <row r="36" spans="1:8">
      <c r="A36" s="48" t="s">
        <v>52</v>
      </c>
      <c r="B36" s="33" t="s">
        <v>77</v>
      </c>
      <c r="C36" s="33" t="s">
        <v>78</v>
      </c>
      <c r="D36" s="3">
        <v>0.11494</v>
      </c>
      <c r="E36" s="3"/>
      <c r="F36" s="3">
        <v>0.109376608</v>
      </c>
      <c r="G36" s="2">
        <v>87482.3</v>
      </c>
      <c r="H36" s="3">
        <v>0.0197147</v>
      </c>
    </row>
    <row r="37" spans="1:8">
      <c r="A37" s="48" t="s">
        <v>52</v>
      </c>
      <c r="B37" s="33" t="s">
        <v>79</v>
      </c>
      <c r="C37" s="33" t="s">
        <v>80</v>
      </c>
      <c r="D37" s="3">
        <v>0.46941</v>
      </c>
      <c r="E37" s="3"/>
      <c r="F37" s="3">
        <v>0.060686793</v>
      </c>
      <c r="G37" s="2">
        <v>48538.9</v>
      </c>
      <c r="H37" s="3">
        <v>0.017691</v>
      </c>
    </row>
    <row r="38" spans="1:8">
      <c r="A38" s="48" t="s">
        <v>52</v>
      </c>
      <c r="B38" s="33" t="s">
        <v>81</v>
      </c>
      <c r="C38" s="33" t="s">
        <v>82</v>
      </c>
      <c r="D38" s="3">
        <v>-0.04842</v>
      </c>
      <c r="E38" s="3"/>
      <c r="F38" s="3">
        <v>0.105572907</v>
      </c>
      <c r="G38" s="2">
        <v>84440</v>
      </c>
      <c r="H38" s="3">
        <v>0.0197037</v>
      </c>
    </row>
    <row r="39" spans="1:8">
      <c r="A39" s="48" t="s">
        <v>52</v>
      </c>
      <c r="B39" s="33" t="s">
        <v>83</v>
      </c>
      <c r="C39" s="33" t="s">
        <v>84</v>
      </c>
      <c r="D39" s="3">
        <v>-0.016</v>
      </c>
      <c r="E39" s="3"/>
      <c r="F39" s="3">
        <v>0.108157218</v>
      </c>
      <c r="G39" s="2">
        <v>86507</v>
      </c>
      <c r="H39" s="3">
        <v>0.0198554</v>
      </c>
    </row>
    <row r="40" spans="1:8">
      <c r="A40" s="48" t="s">
        <v>85</v>
      </c>
      <c r="B40" s="33" t="s">
        <v>86</v>
      </c>
      <c r="C40" s="33" t="s">
        <v>87</v>
      </c>
      <c r="D40" s="3">
        <v>0.42865</v>
      </c>
      <c r="E40" s="3">
        <v>0.212</v>
      </c>
      <c r="F40" s="3">
        <v>0.422878007</v>
      </c>
      <c r="G40" s="2">
        <v>338229</v>
      </c>
      <c r="H40" s="3">
        <v>0.00761967</v>
      </c>
    </row>
    <row r="41" spans="1:8">
      <c r="A41" s="48" t="s">
        <v>85</v>
      </c>
      <c r="B41" s="33" t="s">
        <v>88</v>
      </c>
      <c r="C41" s="33" t="s">
        <v>89</v>
      </c>
      <c r="D41" s="3">
        <v>0.4151</v>
      </c>
      <c r="E41" s="3"/>
      <c r="F41" s="3">
        <v>0.413631</v>
      </c>
      <c r="G41" s="2">
        <v>330833</v>
      </c>
      <c r="H41" s="3">
        <v>0.00727588</v>
      </c>
    </row>
    <row r="42" spans="1:8">
      <c r="A42" s="48" t="s">
        <v>85</v>
      </c>
      <c r="B42" s="33" t="s">
        <v>90</v>
      </c>
      <c r="C42" s="33" t="s">
        <v>91</v>
      </c>
      <c r="D42" s="3">
        <v>0.40375</v>
      </c>
      <c r="E42" s="3"/>
      <c r="F42" s="3">
        <v>0.428375449</v>
      </c>
      <c r="G42" s="2">
        <v>342626</v>
      </c>
      <c r="H42" s="3">
        <v>0.0072564</v>
      </c>
    </row>
    <row r="43" spans="1:8">
      <c r="A43" s="48" t="s">
        <v>85</v>
      </c>
      <c r="B43" s="33" t="s">
        <v>92</v>
      </c>
      <c r="C43" s="33" t="s">
        <v>93</v>
      </c>
      <c r="D43" s="3">
        <v>0.44357</v>
      </c>
      <c r="E43" s="3"/>
      <c r="F43" s="3">
        <v>0.39026343</v>
      </c>
      <c r="G43" s="2">
        <v>312143</v>
      </c>
      <c r="H43" s="3">
        <v>0.0071655</v>
      </c>
    </row>
    <row r="44" spans="1:8">
      <c r="A44" s="48" t="s">
        <v>85</v>
      </c>
      <c r="B44" s="33" t="s">
        <v>94</v>
      </c>
      <c r="C44" s="33" t="s">
        <v>95</v>
      </c>
      <c r="D44" s="3">
        <v>0.29097</v>
      </c>
      <c r="E44" s="3"/>
      <c r="F44" s="3">
        <v>0.286203351</v>
      </c>
      <c r="G44" s="2">
        <v>228913</v>
      </c>
      <c r="H44" s="3">
        <v>0.00925876</v>
      </c>
    </row>
    <row r="45" spans="1:8">
      <c r="A45" s="48" t="s">
        <v>85</v>
      </c>
      <c r="B45" s="33" t="s">
        <v>96</v>
      </c>
      <c r="C45" s="33" t="s">
        <v>97</v>
      </c>
      <c r="D45" s="3">
        <v>0.25928</v>
      </c>
      <c r="E45" s="3"/>
      <c r="F45" s="3">
        <v>0.280964714</v>
      </c>
      <c r="G45" s="2">
        <v>224723</v>
      </c>
      <c r="H45" s="3">
        <v>0.00965092</v>
      </c>
    </row>
    <row r="46" spans="1:8">
      <c r="A46" s="48" t="s">
        <v>85</v>
      </c>
      <c r="B46" s="33" t="s">
        <v>98</v>
      </c>
      <c r="C46" s="33" t="s">
        <v>99</v>
      </c>
      <c r="D46" s="3">
        <v>0.19894</v>
      </c>
      <c r="E46" s="3"/>
      <c r="F46" s="3">
        <v>0.263550936</v>
      </c>
      <c r="G46" s="2">
        <v>210795</v>
      </c>
      <c r="H46" s="3">
        <v>0.00927648</v>
      </c>
    </row>
    <row r="47" spans="1:8">
      <c r="A47" s="48" t="s">
        <v>85</v>
      </c>
      <c r="B47" s="33" t="s">
        <v>100</v>
      </c>
      <c r="C47" s="33" t="s">
        <v>101</v>
      </c>
      <c r="D47" s="3">
        <v>0.05368</v>
      </c>
      <c r="E47" s="3"/>
      <c r="F47" s="3">
        <v>0.248013814</v>
      </c>
      <c r="G47" s="2">
        <v>198368</v>
      </c>
      <c r="H47" s="3">
        <v>0.0126415</v>
      </c>
    </row>
    <row r="48" spans="1:8">
      <c r="A48" s="48" t="s">
        <v>85</v>
      </c>
      <c r="B48" s="33" t="s">
        <v>102</v>
      </c>
      <c r="C48" s="33" t="s">
        <v>103</v>
      </c>
      <c r="D48" s="3">
        <v>0.01537</v>
      </c>
      <c r="E48" s="3"/>
      <c r="F48" s="3">
        <v>0.252193471</v>
      </c>
      <c r="G48" s="2">
        <v>201711</v>
      </c>
      <c r="H48" s="3">
        <v>0.0122545</v>
      </c>
    </row>
    <row r="49" spans="1:8">
      <c r="A49" s="48" t="s">
        <v>85</v>
      </c>
      <c r="B49" s="33" t="s">
        <v>104</v>
      </c>
      <c r="C49" s="33" t="s">
        <v>105</v>
      </c>
      <c r="D49" s="3">
        <v>-0.16252</v>
      </c>
      <c r="E49" s="3"/>
      <c r="F49" s="3">
        <v>0.222679567</v>
      </c>
      <c r="G49" s="2">
        <v>178105</v>
      </c>
      <c r="H49" s="3">
        <v>0.0125333</v>
      </c>
    </row>
    <row r="50" spans="1:8">
      <c r="A50" s="48" t="s">
        <v>85</v>
      </c>
      <c r="B50" s="33" t="s">
        <v>106</v>
      </c>
      <c r="C50" s="33" t="s">
        <v>107</v>
      </c>
      <c r="D50" s="3">
        <v>-0.06591</v>
      </c>
      <c r="E50" s="3"/>
      <c r="F50" s="3">
        <v>0.211700935</v>
      </c>
      <c r="G50" s="2">
        <v>169324</v>
      </c>
      <c r="H50" s="3">
        <v>0.0125886</v>
      </c>
    </row>
    <row r="51" spans="1:8">
      <c r="A51" s="48" t="s">
        <v>85</v>
      </c>
      <c r="B51" s="33" t="s">
        <v>108</v>
      </c>
      <c r="C51" s="33" t="s">
        <v>109</v>
      </c>
      <c r="D51" s="3">
        <v>-0.18415</v>
      </c>
      <c r="E51" s="3"/>
      <c r="F51" s="3">
        <v>0.093682702</v>
      </c>
      <c r="G51" s="2">
        <v>74929.9</v>
      </c>
      <c r="H51" s="3">
        <v>0.0127603</v>
      </c>
    </row>
    <row r="52" spans="1:8">
      <c r="A52" s="48" t="s">
        <v>85</v>
      </c>
      <c r="B52" s="33" t="s">
        <v>110</v>
      </c>
      <c r="C52" s="33" t="s">
        <v>111</v>
      </c>
      <c r="D52" s="3">
        <v>-0.10421</v>
      </c>
      <c r="E52" s="3"/>
      <c r="F52" s="3">
        <v>0.212778669</v>
      </c>
      <c r="G52" s="2">
        <v>170186</v>
      </c>
      <c r="H52" s="3">
        <v>0.0131544</v>
      </c>
    </row>
    <row r="53" spans="1:8">
      <c r="A53" s="48" t="s">
        <v>85</v>
      </c>
      <c r="B53" s="33" t="s">
        <v>112</v>
      </c>
      <c r="C53" s="33" t="s">
        <v>113</v>
      </c>
      <c r="D53" s="3">
        <v>0.05518</v>
      </c>
      <c r="E53" s="3"/>
      <c r="F53" s="3">
        <v>0.229817366</v>
      </c>
      <c r="G53" s="2">
        <v>183814</v>
      </c>
      <c r="H53" s="3">
        <v>0.011708</v>
      </c>
    </row>
    <row r="54" spans="1:8">
      <c r="A54" s="48" t="s">
        <v>85</v>
      </c>
      <c r="B54" s="33" t="s">
        <v>114</v>
      </c>
      <c r="C54" s="33" t="s">
        <v>115</v>
      </c>
      <c r="D54" s="3">
        <v>0.10522</v>
      </c>
      <c r="E54" s="3"/>
      <c r="F54" s="3">
        <v>0.220700388</v>
      </c>
      <c r="G54" s="2">
        <v>176522</v>
      </c>
      <c r="H54" s="3">
        <v>0.0117196</v>
      </c>
    </row>
    <row r="55" spans="1:8">
      <c r="A55" s="48" t="s">
        <v>85</v>
      </c>
      <c r="B55" s="33" t="s">
        <v>116</v>
      </c>
      <c r="C55" s="33" t="s">
        <v>117</v>
      </c>
      <c r="D55" s="3">
        <v>0.00866</v>
      </c>
      <c r="E55" s="3"/>
      <c r="F55" s="3">
        <v>0.221150486</v>
      </c>
      <c r="G55" s="2">
        <v>176882</v>
      </c>
      <c r="H55" s="3">
        <v>0.0121252</v>
      </c>
    </row>
    <row r="56" spans="1:8">
      <c r="A56" s="48" t="s">
        <v>85</v>
      </c>
      <c r="B56" s="33" t="s">
        <v>118</v>
      </c>
      <c r="C56" s="33" t="s">
        <v>119</v>
      </c>
      <c r="D56" s="3">
        <v>0.23182</v>
      </c>
      <c r="E56" s="3"/>
      <c r="F56" s="3">
        <v>0.336598035</v>
      </c>
      <c r="G56" s="2">
        <v>269220</v>
      </c>
      <c r="H56" s="3">
        <v>0.00846571</v>
      </c>
    </row>
    <row r="57" spans="1:8">
      <c r="A57" s="48" t="s">
        <v>85</v>
      </c>
      <c r="B57" s="33" t="s">
        <v>120</v>
      </c>
      <c r="C57" s="33" t="s">
        <v>121</v>
      </c>
      <c r="D57" s="3">
        <v>0.517</v>
      </c>
      <c r="E57" s="3"/>
      <c r="F57" s="3">
        <v>0.303882187</v>
      </c>
      <c r="G57" s="2">
        <v>243053</v>
      </c>
      <c r="H57" s="3">
        <v>0.00608471</v>
      </c>
    </row>
    <row r="58" spans="1:8">
      <c r="A58" s="48" t="s">
        <v>85</v>
      </c>
      <c r="B58" s="33" t="s">
        <v>122</v>
      </c>
      <c r="C58" s="33" t="s">
        <v>123</v>
      </c>
      <c r="D58" s="3">
        <v>0.60714</v>
      </c>
      <c r="E58" s="3"/>
      <c r="F58" s="3">
        <v>0.256874487</v>
      </c>
      <c r="G58" s="2">
        <v>205455</v>
      </c>
      <c r="H58" s="3">
        <v>0.0073277</v>
      </c>
    </row>
    <row r="59" spans="1:8">
      <c r="A59" s="48" t="s">
        <v>85</v>
      </c>
      <c r="B59" s="33" t="s">
        <v>124</v>
      </c>
      <c r="C59" s="33" t="s">
        <v>125</v>
      </c>
      <c r="D59" s="3">
        <v>0.48002</v>
      </c>
      <c r="E59" s="3"/>
      <c r="F59" s="3">
        <v>0.185426484</v>
      </c>
      <c r="G59" s="2">
        <v>148309</v>
      </c>
      <c r="H59" s="3">
        <v>0.010497</v>
      </c>
    </row>
    <row r="60" spans="1:8">
      <c r="A60" s="48" t="s">
        <v>85</v>
      </c>
      <c r="B60" s="33" t="s">
        <v>126</v>
      </c>
      <c r="C60" s="33" t="s">
        <v>127</v>
      </c>
      <c r="D60" s="3">
        <v>0.10183</v>
      </c>
      <c r="E60" s="3"/>
      <c r="F60" s="3">
        <v>0.221984416</v>
      </c>
      <c r="G60" s="2">
        <v>177549</v>
      </c>
      <c r="H60" s="3">
        <v>0.0116826</v>
      </c>
    </row>
    <row r="61" spans="1:8">
      <c r="A61" s="48" t="s">
        <v>85</v>
      </c>
      <c r="B61" s="33" t="s">
        <v>128</v>
      </c>
      <c r="C61" s="33" t="s">
        <v>129</v>
      </c>
      <c r="D61" s="3">
        <v>0.77842</v>
      </c>
      <c r="E61" s="3"/>
      <c r="F61" s="3">
        <v>0.07205876</v>
      </c>
      <c r="G61" s="2">
        <v>57634.5</v>
      </c>
      <c r="H61" s="3">
        <v>0.0087387</v>
      </c>
    </row>
    <row r="62" spans="1:8">
      <c r="A62" s="48" t="s">
        <v>149</v>
      </c>
      <c r="B62" s="33" t="s">
        <v>150</v>
      </c>
      <c r="C62" s="33" t="s">
        <v>132</v>
      </c>
      <c r="D62" s="3">
        <v>-0.19983</v>
      </c>
      <c r="E62" s="3">
        <v>-0.3448</v>
      </c>
      <c r="F62" s="3">
        <v>0.032070584</v>
      </c>
      <c r="G62" s="2">
        <v>25650.9</v>
      </c>
      <c r="H62" s="3">
        <v>0.0221846</v>
      </c>
    </row>
    <row r="63" spans="1:8">
      <c r="A63" s="48" t="s">
        <v>149</v>
      </c>
      <c r="B63" s="33" t="s">
        <v>153</v>
      </c>
      <c r="C63" s="33" t="s">
        <v>134</v>
      </c>
      <c r="D63" s="3">
        <v>0.02695</v>
      </c>
      <c r="E63" s="3"/>
      <c r="F63" s="3">
        <v>0.028403788</v>
      </c>
      <c r="G63" s="2">
        <v>22718.1</v>
      </c>
      <c r="H63" s="3">
        <v>0.021524</v>
      </c>
    </row>
    <row r="64" spans="1:8">
      <c r="A64" s="37" t="s">
        <v>149</v>
      </c>
      <c r="B64" s="31" t="s">
        <v>155</v>
      </c>
      <c r="C64" s="31" t="s">
        <v>136</v>
      </c>
      <c r="D64" s="38">
        <v>-0.11068</v>
      </c>
      <c r="E64" s="38"/>
      <c r="F64" s="38">
        <v>0.029869856</v>
      </c>
      <c r="G64" s="24">
        <v>23890.7</v>
      </c>
      <c r="H64" s="38">
        <v>0.0218661</v>
      </c>
    </row>
    <row r="65" spans="3:5">
      <c r="C65" s="34"/>
      <c r="D65" s="33"/>
      <c r="E65" s="33"/>
    </row>
    <row r="66" spans="3:5">
      <c r="C66" s="34"/>
      <c r="D66" s="33"/>
      <c r="E66" s="33"/>
    </row>
    <row r="67" spans="3:5">
      <c r="C67" s="34"/>
      <c r="D67" s="33"/>
      <c r="E67" s="33"/>
    </row>
    <row r="68" spans="3:5">
      <c r="C68" s="34"/>
      <c r="D68" s="33"/>
      <c r="E68" s="33"/>
    </row>
    <row r="69" spans="3:5">
      <c r="C69" s="34"/>
      <c r="D69" s="33"/>
      <c r="E69" s="33"/>
    </row>
    <row r="70" spans="3:5">
      <c r="C70" s="34"/>
      <c r="D70" s="33"/>
      <c r="E70" s="33"/>
    </row>
    <row r="71" spans="3:5">
      <c r="C71" s="34"/>
      <c r="D71" s="33"/>
      <c r="E71" s="33"/>
    </row>
    <row r="72" spans="3:5">
      <c r="C72" s="34"/>
      <c r="D72" s="33"/>
      <c r="E72" s="33"/>
    </row>
    <row r="73" spans="3:5">
      <c r="C73" s="34"/>
      <c r="D73" s="33"/>
      <c r="E73" s="33"/>
    </row>
    <row r="74" spans="3:3">
      <c r="C74" s="23"/>
    </row>
    <row r="75" spans="3:3">
      <c r="C75" s="23"/>
    </row>
  </sheetData>
  <mergeCells count="5">
    <mergeCell ref="A1:I1"/>
    <mergeCell ref="E3:E23"/>
    <mergeCell ref="E24:E39"/>
    <mergeCell ref="E40:E61"/>
    <mergeCell ref="E62:E6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6"/>
  <sheetViews>
    <sheetView zoomScale="85" zoomScaleNormal="85" workbookViewId="0">
      <selection activeCell="A66" sqref="A66:I66"/>
    </sheetView>
  </sheetViews>
  <sheetFormatPr defaultColWidth="9.25" defaultRowHeight="17.6"/>
  <cols>
    <col min="1" max="2" width="24.25" style="25" customWidth="1"/>
    <col min="3" max="3" width="24.25" style="26" customWidth="1"/>
    <col min="4" max="6" width="36.5" style="26" customWidth="1"/>
    <col min="7" max="9" width="36.5" style="21" customWidth="1"/>
    <col min="10" max="10" width="66.3653846153846" style="4" customWidth="1"/>
    <col min="11" max="11" width="40.5" style="4" customWidth="1"/>
    <col min="12" max="16384" width="9.25" style="4"/>
  </cols>
  <sheetData>
    <row r="1" ht="18" spans="1:6">
      <c r="A1" s="19" t="s">
        <v>269</v>
      </c>
      <c r="B1" s="19"/>
      <c r="C1" s="27"/>
      <c r="D1" s="28"/>
      <c r="E1" s="28"/>
      <c r="F1" s="27"/>
    </row>
    <row r="2" spans="1:10">
      <c r="A2" s="29" t="s">
        <v>1</v>
      </c>
      <c r="B2" s="29" t="s">
        <v>2</v>
      </c>
      <c r="C2" s="29" t="s">
        <v>263</v>
      </c>
      <c r="D2" s="30" t="s">
        <v>270</v>
      </c>
      <c r="E2" s="30"/>
      <c r="F2" s="30"/>
      <c r="G2" s="30"/>
      <c r="H2" s="30"/>
      <c r="I2" s="30"/>
      <c r="J2" s="29" t="s">
        <v>271</v>
      </c>
    </row>
    <row r="3" spans="1:10">
      <c r="A3" s="31"/>
      <c r="B3" s="31"/>
      <c r="C3" s="31"/>
      <c r="D3" s="31" t="s">
        <v>272</v>
      </c>
      <c r="E3" s="31" t="s">
        <v>273</v>
      </c>
      <c r="F3" s="31" t="s">
        <v>274</v>
      </c>
      <c r="G3" s="31" t="s">
        <v>275</v>
      </c>
      <c r="H3" s="31" t="s">
        <v>276</v>
      </c>
      <c r="I3" s="31" t="s">
        <v>277</v>
      </c>
      <c r="J3" s="31"/>
    </row>
    <row r="4" spans="1:18">
      <c r="A4" s="32" t="s">
        <v>9</v>
      </c>
      <c r="B4" s="33" t="s">
        <v>10</v>
      </c>
      <c r="C4" s="34" t="s">
        <v>11</v>
      </c>
      <c r="D4" s="3">
        <v>1.05945994478238</v>
      </c>
      <c r="E4" s="3">
        <v>0.221611187178739</v>
      </c>
      <c r="F4" s="3">
        <v>0.0623555026823191</v>
      </c>
      <c r="G4" s="3">
        <v>0.0123902942694889</v>
      </c>
      <c r="H4" s="3">
        <v>0.00911315121995017</v>
      </c>
      <c r="I4" s="3">
        <v>0.000987632151915782</v>
      </c>
      <c r="J4" s="3">
        <v>0.163052822619161</v>
      </c>
      <c r="K4" s="35"/>
      <c r="L4" s="35"/>
      <c r="M4" s="35"/>
      <c r="N4" s="35"/>
      <c r="O4" s="35"/>
      <c r="P4" s="35"/>
      <c r="Q4" s="35"/>
      <c r="R4" s="35"/>
    </row>
    <row r="5" spans="1:18">
      <c r="A5" s="32" t="s">
        <v>9</v>
      </c>
      <c r="B5" s="33" t="s">
        <v>12</v>
      </c>
      <c r="C5" s="34" t="s">
        <v>13</v>
      </c>
      <c r="D5" s="3">
        <v>1.20913165656425</v>
      </c>
      <c r="E5" s="3">
        <v>0.407301609419634</v>
      </c>
      <c r="F5" s="3">
        <v>0.081469611463341</v>
      </c>
      <c r="G5" s="3">
        <v>0.0231310527415871</v>
      </c>
      <c r="H5" s="3">
        <v>0.0141201607097239</v>
      </c>
      <c r="I5" s="3">
        <v>0.00157922850042964</v>
      </c>
      <c r="J5" s="3">
        <v>0.166433716804645</v>
      </c>
      <c r="K5" s="35"/>
      <c r="L5" s="35"/>
      <c r="M5" s="35"/>
      <c r="N5" s="35"/>
      <c r="O5" s="35"/>
      <c r="P5" s="35"/>
      <c r="Q5" s="35"/>
      <c r="R5" s="35"/>
    </row>
    <row r="6" spans="1:18">
      <c r="A6" s="32" t="s">
        <v>9</v>
      </c>
      <c r="B6" s="33" t="s">
        <v>14</v>
      </c>
      <c r="C6" s="34" t="s">
        <v>15</v>
      </c>
      <c r="D6" s="3">
        <v>1.21702841654656</v>
      </c>
      <c r="E6" s="3">
        <v>0.323574332609116</v>
      </c>
      <c r="F6" s="3">
        <v>0.0792479617957709</v>
      </c>
      <c r="G6" s="3">
        <v>0.0220706864284639</v>
      </c>
      <c r="H6" s="3">
        <v>0.01342310753544</v>
      </c>
      <c r="I6" s="3">
        <v>0.00111859229462</v>
      </c>
      <c r="J6" s="3">
        <v>0.163399503722084</v>
      </c>
      <c r="K6" s="35"/>
      <c r="L6" s="35"/>
      <c r="M6" s="35"/>
      <c r="N6" s="35"/>
      <c r="O6" s="35"/>
      <c r="P6" s="35"/>
      <c r="Q6" s="35"/>
      <c r="R6" s="35"/>
    </row>
    <row r="7" spans="1:18">
      <c r="A7" s="32" t="s">
        <v>9</v>
      </c>
      <c r="B7" s="33" t="s">
        <v>16</v>
      </c>
      <c r="C7" s="34" t="s">
        <v>17</v>
      </c>
      <c r="D7" s="3">
        <v>1.14086608085889</v>
      </c>
      <c r="E7" s="3">
        <v>0.0744781628719825</v>
      </c>
      <c r="F7" s="3">
        <v>0.0723875477738216</v>
      </c>
      <c r="G7" s="3">
        <v>0.00489987913631464</v>
      </c>
      <c r="H7" s="3">
        <v>0.00951665414475332</v>
      </c>
      <c r="I7" s="3">
        <v>0.0003048813684818</v>
      </c>
      <c r="J7" s="3">
        <v>0.25170811697185</v>
      </c>
      <c r="K7" s="35"/>
      <c r="L7" s="35"/>
      <c r="M7" s="35"/>
      <c r="N7" s="35"/>
      <c r="O7" s="35"/>
      <c r="P7" s="35"/>
      <c r="Q7" s="35"/>
      <c r="R7" s="35"/>
    </row>
    <row r="8" spans="1:18">
      <c r="A8" s="32" t="s">
        <v>9</v>
      </c>
      <c r="B8" s="33" t="s">
        <v>18</v>
      </c>
      <c r="C8" s="34" t="s">
        <v>19</v>
      </c>
      <c r="D8" s="3">
        <v>1.03011903810817</v>
      </c>
      <c r="E8" s="3">
        <v>0.448190460973077</v>
      </c>
      <c r="F8" s="3">
        <v>0.0667092753854757</v>
      </c>
      <c r="G8" s="3">
        <v>0.0290005592394344</v>
      </c>
      <c r="H8" s="3">
        <v>0.00994647279699609</v>
      </c>
      <c r="I8" s="3">
        <v>0.00191739234640888</v>
      </c>
      <c r="J8" s="3">
        <v>0.142571285642821</v>
      </c>
      <c r="K8" s="35"/>
      <c r="L8" s="35"/>
      <c r="M8" s="35"/>
      <c r="N8" s="35"/>
      <c r="O8" s="35"/>
      <c r="P8" s="35"/>
      <c r="Q8" s="35"/>
      <c r="R8" s="35"/>
    </row>
    <row r="9" spans="1:18">
      <c r="A9" s="32" t="s">
        <v>9</v>
      </c>
      <c r="B9" s="33" t="s">
        <v>20</v>
      </c>
      <c r="C9" s="34" t="s">
        <v>21</v>
      </c>
      <c r="D9" s="3">
        <v>1.15647948399468</v>
      </c>
      <c r="E9" s="3">
        <v>0.0687716545727921</v>
      </c>
      <c r="F9" s="3">
        <v>0.0757011178662483</v>
      </c>
      <c r="G9" s="3">
        <v>0.00470680525593254</v>
      </c>
      <c r="H9" s="3">
        <v>0.00982763504826654</v>
      </c>
      <c r="I9" s="3">
        <v>0.000457606066548997</v>
      </c>
      <c r="J9" s="3">
        <v>0.206896551724138</v>
      </c>
      <c r="K9" s="35"/>
      <c r="L9" s="35"/>
      <c r="M9" s="35"/>
      <c r="N9" s="35"/>
      <c r="O9" s="35"/>
      <c r="P9" s="35"/>
      <c r="Q9" s="35"/>
      <c r="R9" s="35"/>
    </row>
    <row r="10" spans="1:18">
      <c r="A10" s="32" t="s">
        <v>9</v>
      </c>
      <c r="B10" s="33" t="s">
        <v>22</v>
      </c>
      <c r="C10" s="34" t="s">
        <v>23</v>
      </c>
      <c r="D10" s="3">
        <v>1.24590459451542</v>
      </c>
      <c r="E10" s="3">
        <v>0.336645710809166</v>
      </c>
      <c r="F10" s="3">
        <v>0.0862570134523085</v>
      </c>
      <c r="G10" s="3">
        <v>0.0197390657743527</v>
      </c>
      <c r="H10" s="3">
        <v>0.0131593771829018</v>
      </c>
      <c r="I10" s="3">
        <v>0.00175758804840127</v>
      </c>
      <c r="J10" s="3">
        <v>0.194790486976217</v>
      </c>
      <c r="K10" s="35"/>
      <c r="L10" s="35"/>
      <c r="M10" s="35"/>
      <c r="N10" s="35"/>
      <c r="O10" s="35"/>
      <c r="P10" s="35"/>
      <c r="Q10" s="35"/>
      <c r="R10" s="35"/>
    </row>
    <row r="11" spans="1:18">
      <c r="A11" s="32" t="s">
        <v>9</v>
      </c>
      <c r="B11" s="33" t="s">
        <v>24</v>
      </c>
      <c r="C11" s="34" t="s">
        <v>25</v>
      </c>
      <c r="D11" s="3">
        <v>1.25092250922509</v>
      </c>
      <c r="E11" s="3">
        <v>0.322594379789952</v>
      </c>
      <c r="F11" s="3">
        <v>0.0866685589932822</v>
      </c>
      <c r="G11" s="3">
        <v>0.018308260005677</v>
      </c>
      <c r="H11" s="3">
        <v>0.013530135301353</v>
      </c>
      <c r="I11" s="3">
        <v>0.00132462863090169</v>
      </c>
      <c r="J11" s="3">
        <v>0.222283660492121</v>
      </c>
      <c r="K11" s="36"/>
      <c r="L11" s="36"/>
      <c r="M11" s="36"/>
      <c r="N11" s="35"/>
      <c r="O11" s="35"/>
      <c r="P11" s="35"/>
      <c r="Q11" s="35"/>
      <c r="R11" s="35"/>
    </row>
    <row r="12" spans="1:18">
      <c r="A12" s="32" t="s">
        <v>9</v>
      </c>
      <c r="B12" s="33" t="s">
        <v>26</v>
      </c>
      <c r="C12" s="34" t="s">
        <v>27</v>
      </c>
      <c r="D12" s="3">
        <v>1.18225388933029</v>
      </c>
      <c r="E12" s="3">
        <v>0.515775174923751</v>
      </c>
      <c r="F12" s="3">
        <v>0.0914473178358152</v>
      </c>
      <c r="G12" s="3">
        <v>0.0313709408719276</v>
      </c>
      <c r="H12" s="3">
        <v>0.0147115359971295</v>
      </c>
      <c r="I12" s="3">
        <v>0.00164031063382628</v>
      </c>
      <c r="J12" s="3">
        <v>0.140108350457687</v>
      </c>
      <c r="K12" s="35"/>
      <c r="L12" s="35"/>
      <c r="M12" s="35"/>
      <c r="N12" s="35"/>
      <c r="O12" s="35"/>
      <c r="P12" s="35"/>
      <c r="Q12" s="35"/>
      <c r="R12" s="35"/>
    </row>
    <row r="13" spans="1:18">
      <c r="A13" s="32" t="s">
        <v>9</v>
      </c>
      <c r="B13" s="33" t="s">
        <v>28</v>
      </c>
      <c r="C13" s="34" t="s">
        <v>29</v>
      </c>
      <c r="D13" s="3">
        <v>1.21392899300826</v>
      </c>
      <c r="E13" s="3">
        <v>0.303187142467992</v>
      </c>
      <c r="F13" s="3">
        <v>0.0773631163170798</v>
      </c>
      <c r="G13" s="3">
        <v>0.0163443203486788</v>
      </c>
      <c r="H13" s="3">
        <v>0.0114864251339326</v>
      </c>
      <c r="I13" s="3">
        <v>0.00104422046672115</v>
      </c>
      <c r="J13" s="3">
        <v>0.161875088514375</v>
      </c>
      <c r="K13" s="35"/>
      <c r="L13" s="35"/>
      <c r="M13" s="35"/>
      <c r="N13" s="35"/>
      <c r="O13" s="35"/>
      <c r="P13" s="35"/>
      <c r="Q13" s="35"/>
      <c r="R13" s="35"/>
    </row>
    <row r="14" spans="1:18">
      <c r="A14" s="32" t="s">
        <v>9</v>
      </c>
      <c r="B14" s="33" t="s">
        <v>30</v>
      </c>
      <c r="C14" s="34" t="s">
        <v>31</v>
      </c>
      <c r="D14" s="3">
        <v>1.24933324933325</v>
      </c>
      <c r="E14" s="3">
        <v>0.271908271908272</v>
      </c>
      <c r="F14" s="3">
        <v>0.0861000861000861</v>
      </c>
      <c r="G14" s="3">
        <v>0.0163800163800164</v>
      </c>
      <c r="H14" s="3">
        <v>0.0126420126420126</v>
      </c>
      <c r="I14" s="3">
        <v>0.00117600117600118</v>
      </c>
      <c r="J14" s="3">
        <v>0.149303540336622</v>
      </c>
      <c r="K14" s="35"/>
      <c r="L14" s="35"/>
      <c r="M14" s="35"/>
      <c r="N14" s="35"/>
      <c r="O14" s="35"/>
      <c r="P14" s="35"/>
      <c r="Q14" s="35"/>
      <c r="R14" s="35"/>
    </row>
    <row r="15" spans="1:18">
      <c r="A15" s="32" t="s">
        <v>9</v>
      </c>
      <c r="B15" s="33" t="s">
        <v>32</v>
      </c>
      <c r="C15" s="34" t="s">
        <v>33</v>
      </c>
      <c r="D15" s="3">
        <v>1.261888416795</v>
      </c>
      <c r="E15" s="3">
        <v>0.228881013785554</v>
      </c>
      <c r="F15" s="3">
        <v>0.0826020001113234</v>
      </c>
      <c r="G15" s="3">
        <v>0.0136927843850307</v>
      </c>
      <c r="H15" s="3">
        <v>0.0126166576989443</v>
      </c>
      <c r="I15" s="3">
        <v>0.000742156335232017</v>
      </c>
      <c r="J15" s="3">
        <v>0.174165014488333</v>
      </c>
      <c r="K15" s="35"/>
      <c r="L15" s="35"/>
      <c r="M15" s="35"/>
      <c r="N15" s="35"/>
      <c r="O15" s="35"/>
      <c r="P15" s="35"/>
      <c r="Q15" s="35"/>
      <c r="R15" s="35"/>
    </row>
    <row r="16" spans="1:18">
      <c r="A16" s="32" t="s">
        <v>9</v>
      </c>
      <c r="B16" s="33" t="s">
        <v>34</v>
      </c>
      <c r="C16" s="34" t="s">
        <v>35</v>
      </c>
      <c r="D16" s="3">
        <v>1.22548246524175</v>
      </c>
      <c r="E16" s="3">
        <v>0.314629591201494</v>
      </c>
      <c r="F16" s="3">
        <v>0.0812616725461714</v>
      </c>
      <c r="G16" s="3">
        <v>0.0191741025108944</v>
      </c>
      <c r="H16" s="3">
        <v>0.0133222660302967</v>
      </c>
      <c r="I16" s="3">
        <v>0.00153558829632704</v>
      </c>
      <c r="J16" s="3">
        <v>0.121658415841584</v>
      </c>
      <c r="K16" s="35"/>
      <c r="L16" s="35"/>
      <c r="M16" s="35"/>
      <c r="N16" s="35"/>
      <c r="O16" s="35"/>
      <c r="P16" s="35"/>
      <c r="Q16" s="35"/>
      <c r="R16" s="35"/>
    </row>
    <row r="17" spans="1:18">
      <c r="A17" s="32" t="s">
        <v>9</v>
      </c>
      <c r="B17" s="33" t="s">
        <v>36</v>
      </c>
      <c r="C17" s="34" t="s">
        <v>37</v>
      </c>
      <c r="D17" s="3">
        <v>1.26894554561997</v>
      </c>
      <c r="E17" s="3">
        <v>0.295380280587786</v>
      </c>
      <c r="F17" s="3">
        <v>0.0867200187841196</v>
      </c>
      <c r="G17" s="3">
        <v>0.0176101121177138</v>
      </c>
      <c r="H17" s="3">
        <v>0.0135010859569139</v>
      </c>
      <c r="I17" s="3">
        <v>0.000978339562095212</v>
      </c>
      <c r="J17" s="3">
        <v>0.193693132244796</v>
      </c>
      <c r="K17" s="35"/>
      <c r="L17" s="35"/>
      <c r="M17" s="35"/>
      <c r="N17" s="35"/>
      <c r="O17" s="35"/>
      <c r="P17" s="35"/>
      <c r="Q17" s="35"/>
      <c r="R17" s="35"/>
    </row>
    <row r="18" spans="1:18">
      <c r="A18" s="32" t="s">
        <v>9</v>
      </c>
      <c r="B18" s="33" t="s">
        <v>38</v>
      </c>
      <c r="C18" s="34" t="s">
        <v>39</v>
      </c>
      <c r="D18" s="3">
        <v>1.20305131158586</v>
      </c>
      <c r="E18" s="3">
        <v>0.476865233738291</v>
      </c>
      <c r="F18" s="3">
        <v>0.0823245604503075</v>
      </c>
      <c r="G18" s="3">
        <v>0.0297307282724447</v>
      </c>
      <c r="H18" s="3">
        <v>0.0131701910329689</v>
      </c>
      <c r="I18" s="3">
        <v>0.00165170712624693</v>
      </c>
      <c r="J18" s="3">
        <v>0.167792696485077</v>
      </c>
      <c r="K18" s="35"/>
      <c r="L18" s="35"/>
      <c r="M18" s="35"/>
      <c r="N18" s="35"/>
      <c r="O18" s="35"/>
      <c r="P18" s="35"/>
      <c r="Q18" s="35"/>
      <c r="R18" s="35"/>
    </row>
    <row r="19" spans="1:18">
      <c r="A19" s="32" t="s">
        <v>9</v>
      </c>
      <c r="B19" s="33" t="s">
        <v>40</v>
      </c>
      <c r="C19" s="34" t="s">
        <v>41</v>
      </c>
      <c r="D19" s="3">
        <v>1.24980780430984</v>
      </c>
      <c r="E19" s="3">
        <v>0.355876528829353</v>
      </c>
      <c r="F19" s="3">
        <v>0.0869423412929528</v>
      </c>
      <c r="G19" s="3">
        <v>0.0191496796738497</v>
      </c>
      <c r="H19" s="3">
        <v>0.0139778683750728</v>
      </c>
      <c r="I19" s="3">
        <v>0.00107163657542225</v>
      </c>
      <c r="J19" s="3">
        <v>0.180252725470763</v>
      </c>
      <c r="K19" s="35"/>
      <c r="L19" s="35"/>
      <c r="M19" s="35"/>
      <c r="N19" s="35"/>
      <c r="O19" s="35"/>
      <c r="P19" s="35"/>
      <c r="Q19" s="35"/>
      <c r="R19" s="35"/>
    </row>
    <row r="20" spans="1:18">
      <c r="A20" s="32" t="s">
        <v>9</v>
      </c>
      <c r="B20" s="33" t="s">
        <v>42</v>
      </c>
      <c r="C20" s="34" t="s">
        <v>43</v>
      </c>
      <c r="D20" s="3">
        <v>1.24745389485274</v>
      </c>
      <c r="E20" s="3">
        <v>0.335260115606936</v>
      </c>
      <c r="F20" s="3">
        <v>0.0854206807964033</v>
      </c>
      <c r="G20" s="3">
        <v>0.0159647674098541</v>
      </c>
      <c r="H20" s="3">
        <v>0.0129828424626112</v>
      </c>
      <c r="I20" s="3">
        <v>0.00137627305257363</v>
      </c>
      <c r="J20" s="3">
        <v>0.169398907103825</v>
      </c>
      <c r="K20" s="35"/>
      <c r="L20" s="35"/>
      <c r="M20" s="35"/>
      <c r="N20" s="35"/>
      <c r="O20" s="35"/>
      <c r="P20" s="35"/>
      <c r="Q20" s="35"/>
      <c r="R20" s="35"/>
    </row>
    <row r="21" spans="1:18">
      <c r="A21" s="32" t="s">
        <v>9</v>
      </c>
      <c r="B21" s="33" t="s">
        <v>44</v>
      </c>
      <c r="C21" s="34" t="s">
        <v>45</v>
      </c>
      <c r="D21" s="3">
        <v>1.2201837097678</v>
      </c>
      <c r="E21" s="3">
        <v>0.366639865506907</v>
      </c>
      <c r="F21" s="3">
        <v>0.086251005043491</v>
      </c>
      <c r="G21" s="3">
        <v>0.0194430231708208</v>
      </c>
      <c r="H21" s="3">
        <v>0.01452135565139</v>
      </c>
      <c r="I21" s="3">
        <v>0.00160806958555661</v>
      </c>
      <c r="J21" s="3">
        <v>0.176093514328808</v>
      </c>
      <c r="K21" s="35"/>
      <c r="L21" s="35"/>
      <c r="M21" s="35"/>
      <c r="N21" s="35"/>
      <c r="O21" s="35"/>
      <c r="P21" s="35"/>
      <c r="Q21" s="35"/>
      <c r="R21" s="35"/>
    </row>
    <row r="22" spans="1:18">
      <c r="A22" s="32" t="s">
        <v>9</v>
      </c>
      <c r="B22" s="33" t="s">
        <v>46</v>
      </c>
      <c r="C22" s="34" t="s">
        <v>47</v>
      </c>
      <c r="D22" s="3">
        <v>1.23262966587446</v>
      </c>
      <c r="E22" s="3">
        <v>0.289389067524116</v>
      </c>
      <c r="F22" s="3">
        <v>0.0824129735775199</v>
      </c>
      <c r="G22" s="3">
        <v>0.0183489444988117</v>
      </c>
      <c r="H22" s="3">
        <v>0.0128267859639312</v>
      </c>
      <c r="I22" s="3">
        <v>0.00111841185516566</v>
      </c>
      <c r="J22" s="3">
        <v>0.22315265361548</v>
      </c>
      <c r="K22" s="35"/>
      <c r="L22" s="35"/>
      <c r="M22" s="35"/>
      <c r="N22" s="35"/>
      <c r="O22" s="35"/>
      <c r="P22" s="35"/>
      <c r="Q22" s="35"/>
      <c r="R22" s="35"/>
    </row>
    <row r="23" spans="1:18">
      <c r="A23" s="32" t="s">
        <v>9</v>
      </c>
      <c r="B23" s="33" t="s">
        <v>48</v>
      </c>
      <c r="C23" s="34" t="s">
        <v>49</v>
      </c>
      <c r="D23" s="3">
        <v>1.2250434072107</v>
      </c>
      <c r="E23" s="3">
        <v>0.303094678786641</v>
      </c>
      <c r="F23" s="3">
        <v>0.0823613522622817</v>
      </c>
      <c r="G23" s="3">
        <v>0.0165458073741191</v>
      </c>
      <c r="H23" s="3">
        <v>0.0131140843631907</v>
      </c>
      <c r="I23" s="3">
        <v>0.00134817689715044</v>
      </c>
      <c r="J23" s="3">
        <v>0.204658266513937</v>
      </c>
      <c r="K23" s="35"/>
      <c r="L23" s="35"/>
      <c r="M23" s="35"/>
      <c r="N23" s="35"/>
      <c r="O23" s="35"/>
      <c r="P23" s="35"/>
      <c r="Q23" s="35"/>
      <c r="R23" s="35"/>
    </row>
    <row r="24" spans="1:18">
      <c r="A24" s="32" t="s">
        <v>9</v>
      </c>
      <c r="B24" s="33" t="s">
        <v>50</v>
      </c>
      <c r="C24" s="34" t="s">
        <v>51</v>
      </c>
      <c r="D24" s="3">
        <v>1.18174549480288</v>
      </c>
      <c r="E24" s="3">
        <v>0.540254628205917</v>
      </c>
      <c r="F24" s="3">
        <v>0.0832769543022326</v>
      </c>
      <c r="G24" s="3">
        <v>0.028599544867458</v>
      </c>
      <c r="H24" s="3">
        <v>0.0145150378252045</v>
      </c>
      <c r="I24" s="3">
        <v>0.00252168030014146</v>
      </c>
      <c r="J24" s="3">
        <v>0.151453175457481</v>
      </c>
      <c r="K24" s="35"/>
      <c r="L24" s="35"/>
      <c r="M24" s="35"/>
      <c r="N24" s="35"/>
      <c r="O24" s="35"/>
      <c r="P24" s="35"/>
      <c r="Q24" s="35"/>
      <c r="R24" s="35"/>
    </row>
    <row r="25" spans="1:18">
      <c r="A25" s="32" t="s">
        <v>52</v>
      </c>
      <c r="B25" s="33" t="s">
        <v>53</v>
      </c>
      <c r="C25" s="34" t="s">
        <v>54</v>
      </c>
      <c r="D25" s="3">
        <v>0.653294584170786</v>
      </c>
      <c r="E25" s="3">
        <v>0.595306643489597</v>
      </c>
      <c r="F25" s="3">
        <v>0.0389755011135857</v>
      </c>
      <c r="G25" s="3">
        <v>0.0369927752729643</v>
      </c>
      <c r="H25" s="3">
        <v>0.0117877125319137</v>
      </c>
      <c r="I25" s="3">
        <v>0.00271606279537183</v>
      </c>
      <c r="J25" s="3">
        <v>0.184687767322498</v>
      </c>
      <c r="K25" s="35"/>
      <c r="L25" s="35"/>
      <c r="M25" s="35"/>
      <c r="N25" s="35"/>
      <c r="O25" s="35"/>
      <c r="P25" s="35"/>
      <c r="Q25" s="35"/>
      <c r="R25" s="35"/>
    </row>
    <row r="26" spans="1:18">
      <c r="A26" s="32" t="s">
        <v>52</v>
      </c>
      <c r="B26" s="33" t="s">
        <v>55</v>
      </c>
      <c r="C26" s="34" t="s">
        <v>56</v>
      </c>
      <c r="D26" s="3">
        <v>0.673018113385086</v>
      </c>
      <c r="E26" s="3">
        <v>0.548733631302439</v>
      </c>
      <c r="F26" s="3">
        <v>0.0414542983350323</v>
      </c>
      <c r="G26" s="3">
        <v>0.0349721634125304</v>
      </c>
      <c r="H26" s="3">
        <v>0.010507331608249</v>
      </c>
      <c r="I26" s="3">
        <v>0.00250921351838783</v>
      </c>
      <c r="J26" s="3">
        <v>0.244159086855716</v>
      </c>
      <c r="K26" s="35"/>
      <c r="L26" s="35"/>
      <c r="M26" s="35"/>
      <c r="N26" s="35"/>
      <c r="O26" s="35"/>
      <c r="P26" s="35"/>
      <c r="Q26" s="35"/>
      <c r="R26" s="35"/>
    </row>
    <row r="27" spans="1:18">
      <c r="A27" s="32" t="s">
        <v>52</v>
      </c>
      <c r="B27" s="33" t="s">
        <v>57</v>
      </c>
      <c r="C27" s="34" t="s">
        <v>58</v>
      </c>
      <c r="D27" s="3">
        <v>0.644061878927862</v>
      </c>
      <c r="E27" s="3">
        <v>0.617500134285868</v>
      </c>
      <c r="F27" s="3">
        <v>0.039668045334909</v>
      </c>
      <c r="G27" s="3">
        <v>0.0330343234677982</v>
      </c>
      <c r="H27" s="3">
        <v>0.0105011548584627</v>
      </c>
      <c r="I27" s="3">
        <v>0.00230971692539077</v>
      </c>
      <c r="J27" s="3">
        <v>0.232022379463551</v>
      </c>
      <c r="K27" s="35"/>
      <c r="L27" s="35"/>
      <c r="M27" s="35"/>
      <c r="N27" s="35"/>
      <c r="O27" s="35"/>
      <c r="P27" s="35"/>
      <c r="Q27" s="35"/>
      <c r="R27" s="35"/>
    </row>
    <row r="28" spans="1:18">
      <c r="A28" s="32" t="s">
        <v>52</v>
      </c>
      <c r="B28" s="33" t="s">
        <v>59</v>
      </c>
      <c r="C28" s="34" t="s">
        <v>60</v>
      </c>
      <c r="D28" s="3">
        <v>0.677926692269509</v>
      </c>
      <c r="E28" s="3">
        <v>0.527470804922016</v>
      </c>
      <c r="F28" s="3">
        <v>0.040337539514591</v>
      </c>
      <c r="G28" s="3">
        <v>0.0286856336703503</v>
      </c>
      <c r="H28" s="3">
        <v>0.0107375186143115</v>
      </c>
      <c r="I28" s="3">
        <v>0.00214227865297698</v>
      </c>
      <c r="J28" s="3">
        <v>0.201029480580253</v>
      </c>
      <c r="K28" s="35"/>
      <c r="L28" s="35"/>
      <c r="M28" s="35"/>
      <c r="N28" s="35"/>
      <c r="O28" s="35"/>
      <c r="P28" s="35"/>
      <c r="Q28" s="35"/>
      <c r="R28" s="35"/>
    </row>
    <row r="29" spans="1:18">
      <c r="A29" s="32" t="s">
        <v>52</v>
      </c>
      <c r="B29" s="33" t="s">
        <v>61</v>
      </c>
      <c r="C29" s="34" t="s">
        <v>62</v>
      </c>
      <c r="D29" s="3">
        <v>0.659936427209154</v>
      </c>
      <c r="E29" s="3">
        <v>0.585123966942149</v>
      </c>
      <c r="F29" s="3">
        <v>0.0408391608391608</v>
      </c>
      <c r="G29" s="3">
        <v>0.034481881754609</v>
      </c>
      <c r="H29" s="3">
        <v>0.0104005085823268</v>
      </c>
      <c r="I29" s="3">
        <v>0.00233947870311507</v>
      </c>
      <c r="J29" s="3">
        <v>0.208520729413689</v>
      </c>
      <c r="K29" s="35"/>
      <c r="L29" s="35"/>
      <c r="M29" s="35"/>
      <c r="N29" s="35"/>
      <c r="O29" s="35"/>
      <c r="P29" s="35"/>
      <c r="Q29" s="35"/>
      <c r="R29" s="35"/>
    </row>
    <row r="30" spans="1:18">
      <c r="A30" s="32" t="s">
        <v>52</v>
      </c>
      <c r="B30" s="33" t="s">
        <v>63</v>
      </c>
      <c r="C30" s="34" t="s">
        <v>64</v>
      </c>
      <c r="D30" s="3">
        <v>0.667834318260823</v>
      </c>
      <c r="E30" s="3">
        <v>0.563948979864695</v>
      </c>
      <c r="F30" s="3">
        <v>0.0398962483621681</v>
      </c>
      <c r="G30" s="3">
        <v>0.0317672540578121</v>
      </c>
      <c r="H30" s="3">
        <v>0.0108297457015269</v>
      </c>
      <c r="I30" s="3">
        <v>0.00240661015589486</v>
      </c>
      <c r="J30" s="3">
        <v>0.163090128755365</v>
      </c>
      <c r="K30" s="35"/>
      <c r="L30" s="35"/>
      <c r="M30" s="35"/>
      <c r="N30" s="35"/>
      <c r="O30" s="35"/>
      <c r="P30" s="35"/>
      <c r="Q30" s="35"/>
      <c r="R30" s="35"/>
    </row>
    <row r="31" spans="1:18">
      <c r="A31" s="32" t="s">
        <v>52</v>
      </c>
      <c r="B31" s="33" t="s">
        <v>65</v>
      </c>
      <c r="C31" s="34" t="s">
        <v>66</v>
      </c>
      <c r="D31" s="3">
        <v>0.649092955681788</v>
      </c>
      <c r="E31" s="3">
        <v>0.627784612968247</v>
      </c>
      <c r="F31" s="3">
        <v>0.0407580953378184</v>
      </c>
      <c r="G31" s="3">
        <v>0.0321981099971205</v>
      </c>
      <c r="H31" s="3">
        <v>0.0110991858851863</v>
      </c>
      <c r="I31" s="3">
        <v>0.00287950577210021</v>
      </c>
      <c r="J31" s="3">
        <v>0.207724508332675</v>
      </c>
      <c r="K31" s="35"/>
      <c r="L31" s="35"/>
      <c r="M31" s="35"/>
      <c r="N31" s="35"/>
      <c r="O31" s="35"/>
      <c r="P31" s="35"/>
      <c r="Q31" s="35"/>
      <c r="R31" s="35"/>
    </row>
    <row r="32" spans="1:18">
      <c r="A32" s="32" t="s">
        <v>52</v>
      </c>
      <c r="B32" s="33" t="s">
        <v>67</v>
      </c>
      <c r="C32" s="34" t="s">
        <v>68</v>
      </c>
      <c r="D32" s="3">
        <v>0.638324940365757</v>
      </c>
      <c r="E32" s="3">
        <v>0.655499602438378</v>
      </c>
      <c r="F32" s="3">
        <v>0.039729658097005</v>
      </c>
      <c r="G32" s="3">
        <v>0.0365756692287305</v>
      </c>
      <c r="H32" s="3">
        <v>0.0104691227140207</v>
      </c>
      <c r="I32" s="3">
        <v>0.00222634508348794</v>
      </c>
      <c r="J32" s="3">
        <v>0.188960146587265</v>
      </c>
      <c r="K32" s="35"/>
      <c r="L32" s="35"/>
      <c r="M32" s="35"/>
      <c r="N32" s="35"/>
      <c r="O32" s="35"/>
      <c r="P32" s="35"/>
      <c r="Q32" s="35"/>
      <c r="R32" s="35"/>
    </row>
    <row r="33" spans="1:18">
      <c r="A33" s="32" t="s">
        <v>52</v>
      </c>
      <c r="B33" s="33" t="s">
        <v>69</v>
      </c>
      <c r="C33" s="34" t="s">
        <v>70</v>
      </c>
      <c r="D33" s="3">
        <v>0.649194171257917</v>
      </c>
      <c r="E33" s="3">
        <v>0.568765769012924</v>
      </c>
      <c r="F33" s="3">
        <v>0.0402656917769425</v>
      </c>
      <c r="G33" s="3">
        <v>0.0304309767777148</v>
      </c>
      <c r="H33" s="3">
        <v>0.0103238762164667</v>
      </c>
      <c r="I33" s="3">
        <v>0.00242006075897225</v>
      </c>
      <c r="J33" s="3">
        <v>0.224666210201986</v>
      </c>
      <c r="K33" s="35"/>
      <c r="L33" s="35"/>
      <c r="M33" s="35"/>
      <c r="N33" s="35"/>
      <c r="O33" s="35"/>
      <c r="P33" s="35"/>
      <c r="Q33" s="35"/>
      <c r="R33" s="35"/>
    </row>
    <row r="34" spans="1:18">
      <c r="A34" s="32" t="s">
        <v>52</v>
      </c>
      <c r="B34" s="33" t="s">
        <v>71</v>
      </c>
      <c r="C34" s="34" t="s">
        <v>72</v>
      </c>
      <c r="D34" s="3">
        <v>0.646499678869621</v>
      </c>
      <c r="E34" s="3">
        <v>0.596840077071291</v>
      </c>
      <c r="F34" s="3">
        <v>0.0389723827874117</v>
      </c>
      <c r="G34" s="3">
        <v>0.035606936416185</v>
      </c>
      <c r="H34" s="3">
        <v>0.0107899807321773</v>
      </c>
      <c r="I34" s="3">
        <v>0.00210661528580604</v>
      </c>
      <c r="J34" s="3">
        <v>0.218056680161943</v>
      </c>
      <c r="K34" s="35"/>
      <c r="L34" s="35"/>
      <c r="M34" s="35"/>
      <c r="N34" s="35"/>
      <c r="O34" s="35"/>
      <c r="P34" s="35"/>
      <c r="Q34" s="35"/>
      <c r="R34" s="35"/>
    </row>
    <row r="35" spans="1:18">
      <c r="A35" s="32" t="s">
        <v>52</v>
      </c>
      <c r="B35" s="33" t="s">
        <v>73</v>
      </c>
      <c r="C35" s="34" t="s">
        <v>74</v>
      </c>
      <c r="D35" s="3">
        <v>0.672798199549888</v>
      </c>
      <c r="E35" s="3">
        <v>0.536894223555889</v>
      </c>
      <c r="F35" s="3">
        <v>0.0411102775693923</v>
      </c>
      <c r="G35" s="3">
        <v>0.0307876969242311</v>
      </c>
      <c r="H35" s="3">
        <v>0.0113428357089272</v>
      </c>
      <c r="I35" s="3">
        <v>0.00168042010502626</v>
      </c>
      <c r="J35" s="3">
        <v>0.192895541266997</v>
      </c>
      <c r="K35" s="35"/>
      <c r="L35" s="35"/>
      <c r="M35" s="35"/>
      <c r="N35" s="35"/>
      <c r="O35" s="35"/>
      <c r="P35" s="35"/>
      <c r="Q35" s="35"/>
      <c r="R35" s="35"/>
    </row>
    <row r="36" spans="1:18">
      <c r="A36" s="32" t="s">
        <v>52</v>
      </c>
      <c r="B36" s="33" t="s">
        <v>75</v>
      </c>
      <c r="C36" s="34" t="s">
        <v>76</v>
      </c>
      <c r="D36" s="3">
        <v>0.674706888128969</v>
      </c>
      <c r="E36" s="3">
        <v>0.462567171470445</v>
      </c>
      <c r="F36" s="3">
        <v>0.0417684416218857</v>
      </c>
      <c r="G36" s="3">
        <v>0.0247313141182218</v>
      </c>
      <c r="H36" s="3">
        <v>0.0107779677576942</v>
      </c>
      <c r="I36" s="3">
        <v>0.00128236443575965</v>
      </c>
      <c r="J36" s="3">
        <v>0.197225346831646</v>
      </c>
      <c r="K36" s="35"/>
      <c r="L36" s="35"/>
      <c r="M36" s="35"/>
      <c r="N36" s="35"/>
      <c r="O36" s="35"/>
      <c r="P36" s="35"/>
      <c r="Q36" s="35"/>
      <c r="R36" s="35"/>
    </row>
    <row r="37" spans="1:18">
      <c r="A37" s="32" t="s">
        <v>52</v>
      </c>
      <c r="B37" s="33" t="s">
        <v>77</v>
      </c>
      <c r="C37" s="34" t="s">
        <v>78</v>
      </c>
      <c r="D37" s="3">
        <v>0.690619683381874</v>
      </c>
      <c r="E37" s="3">
        <v>0.492747772427117</v>
      </c>
      <c r="F37" s="3">
        <v>0.0408027913146284</v>
      </c>
      <c r="G37" s="3">
        <v>0.0306237204071628</v>
      </c>
      <c r="H37" s="3">
        <v>0.0112748349145016</v>
      </c>
      <c r="I37" s="3">
        <v>0.00173015369531993</v>
      </c>
      <c r="J37" s="3">
        <v>0.199670510708402</v>
      </c>
      <c r="K37" s="35"/>
      <c r="L37" s="35"/>
      <c r="M37" s="35"/>
      <c r="N37" s="35"/>
      <c r="O37" s="35"/>
      <c r="P37" s="35"/>
      <c r="Q37" s="35"/>
      <c r="R37" s="35"/>
    </row>
    <row r="38" spans="1:18">
      <c r="A38" s="32" t="s">
        <v>52</v>
      </c>
      <c r="B38" s="33" t="s">
        <v>79</v>
      </c>
      <c r="C38" s="34" t="s">
        <v>80</v>
      </c>
      <c r="D38" s="3">
        <v>0.52655662689982</v>
      </c>
      <c r="E38" s="3">
        <v>0.974914201666939</v>
      </c>
      <c r="F38" s="3">
        <v>0.0320313776760909</v>
      </c>
      <c r="G38" s="3">
        <v>0.0517241379310345</v>
      </c>
      <c r="H38" s="3">
        <v>0.00984638012747181</v>
      </c>
      <c r="I38" s="3">
        <v>0.00400392220951136</v>
      </c>
      <c r="J38" s="3">
        <v>0.139380004756997</v>
      </c>
      <c r="K38" s="35"/>
      <c r="L38" s="35"/>
      <c r="M38" s="35"/>
      <c r="N38" s="35"/>
      <c r="O38" s="35"/>
      <c r="P38" s="35"/>
      <c r="Q38" s="35"/>
      <c r="R38" s="35"/>
    </row>
    <row r="39" spans="1:18">
      <c r="A39" s="32" t="s">
        <v>52</v>
      </c>
      <c r="B39" s="33" t="s">
        <v>81</v>
      </c>
      <c r="C39" s="34" t="s">
        <v>82</v>
      </c>
      <c r="D39" s="3">
        <v>0.688806183796164</v>
      </c>
      <c r="E39" s="3">
        <v>0.502199203602009</v>
      </c>
      <c r="F39" s="3">
        <v>0.0427087942118002</v>
      </c>
      <c r="G39" s="3">
        <v>0.0298258855373084</v>
      </c>
      <c r="H39" s="3">
        <v>0.0111912135960232</v>
      </c>
      <c r="I39" s="3">
        <v>0.00176977331285949</v>
      </c>
      <c r="J39" s="3">
        <v>0.222623110677718</v>
      </c>
      <c r="K39" s="35"/>
      <c r="L39" s="35"/>
      <c r="M39" s="35"/>
      <c r="N39" s="35"/>
      <c r="O39" s="35"/>
      <c r="P39" s="35"/>
      <c r="Q39" s="35"/>
      <c r="R39" s="35"/>
    </row>
    <row r="40" spans="1:18">
      <c r="A40" s="32" t="s">
        <v>52</v>
      </c>
      <c r="B40" s="33" t="s">
        <v>83</v>
      </c>
      <c r="C40" s="34" t="s">
        <v>84</v>
      </c>
      <c r="D40" s="3">
        <v>0.644001075820925</v>
      </c>
      <c r="E40" s="3">
        <v>0.604122350179711</v>
      </c>
      <c r="F40" s="3">
        <v>0.0399031761167755</v>
      </c>
      <c r="G40" s="3">
        <v>0.0328614391549916</v>
      </c>
      <c r="H40" s="3">
        <v>0.0109293625761021</v>
      </c>
      <c r="I40" s="3">
        <v>0.00254284945842197</v>
      </c>
      <c r="J40" s="3">
        <v>0.207371157669368</v>
      </c>
      <c r="K40" s="35"/>
      <c r="L40" s="35"/>
      <c r="M40" s="35"/>
      <c r="N40" s="35"/>
      <c r="O40" s="35"/>
      <c r="P40" s="35"/>
      <c r="Q40" s="35"/>
      <c r="R40" s="35"/>
    </row>
    <row r="41" spans="1:18">
      <c r="A41" s="32" t="s">
        <v>85</v>
      </c>
      <c r="B41" s="33" t="s">
        <v>86</v>
      </c>
      <c r="C41" s="34" t="s">
        <v>87</v>
      </c>
      <c r="D41" s="3">
        <v>0.541661642348969</v>
      </c>
      <c r="E41" s="3">
        <v>0.731701434945134</v>
      </c>
      <c r="F41" s="3">
        <v>0.0323566059729089</v>
      </c>
      <c r="G41" s="3">
        <v>0.0429277704087785</v>
      </c>
      <c r="H41" s="3">
        <v>0.00828007556573817</v>
      </c>
      <c r="I41" s="3">
        <v>0.00257245066120021</v>
      </c>
      <c r="J41" s="3">
        <v>0.51272238311957</v>
      </c>
      <c r="K41" s="35"/>
      <c r="L41" s="35"/>
      <c r="M41" s="35"/>
      <c r="N41" s="35"/>
      <c r="O41" s="35"/>
      <c r="P41" s="35"/>
      <c r="Q41" s="35"/>
      <c r="R41" s="35"/>
    </row>
    <row r="42" spans="1:18">
      <c r="A42" s="32" t="s">
        <v>85</v>
      </c>
      <c r="B42" s="33" t="s">
        <v>88</v>
      </c>
      <c r="C42" s="34" t="s">
        <v>89</v>
      </c>
      <c r="D42" s="3">
        <v>0.527167066281952</v>
      </c>
      <c r="E42" s="3">
        <v>0.785630105254602</v>
      </c>
      <c r="F42" s="3">
        <v>0.0329581013532735</v>
      </c>
      <c r="G42" s="3">
        <v>0.0492542772381843</v>
      </c>
      <c r="H42" s="3">
        <v>0.00711179745600845</v>
      </c>
      <c r="I42" s="3">
        <v>0.00292599666761491</v>
      </c>
      <c r="J42" s="3">
        <v>0.532013969732247</v>
      </c>
      <c r="K42" s="35"/>
      <c r="L42" s="35"/>
      <c r="M42" s="35"/>
      <c r="N42" s="35"/>
      <c r="O42" s="35"/>
      <c r="P42" s="35"/>
      <c r="Q42" s="35"/>
      <c r="R42" s="35"/>
    </row>
    <row r="43" spans="1:18">
      <c r="A43" s="32" t="s">
        <v>85</v>
      </c>
      <c r="B43" s="33" t="s">
        <v>90</v>
      </c>
      <c r="C43" s="34" t="s">
        <v>91</v>
      </c>
      <c r="D43" s="3">
        <v>0.549292376970087</v>
      </c>
      <c r="E43" s="3">
        <v>0.706336442586041</v>
      </c>
      <c r="F43" s="3">
        <v>0.0313605660984239</v>
      </c>
      <c r="G43" s="3">
        <v>0.0484882598906401</v>
      </c>
      <c r="H43" s="3">
        <v>0.00792055323255066</v>
      </c>
      <c r="I43" s="3">
        <v>0.00265358636217433</v>
      </c>
      <c r="J43" s="3">
        <v>0.521337579617834</v>
      </c>
      <c r="K43" s="35"/>
      <c r="L43" s="35"/>
      <c r="M43" s="35"/>
      <c r="N43" s="35"/>
      <c r="O43" s="35"/>
      <c r="P43" s="35"/>
      <c r="Q43" s="35"/>
      <c r="R43" s="35"/>
    </row>
    <row r="44" spans="1:18">
      <c r="A44" s="32" t="s">
        <v>85</v>
      </c>
      <c r="B44" s="33" t="s">
        <v>92</v>
      </c>
      <c r="C44" s="34" t="s">
        <v>93</v>
      </c>
      <c r="D44" s="3">
        <v>0.478387096774194</v>
      </c>
      <c r="E44" s="3">
        <v>0.883790322580645</v>
      </c>
      <c r="F44" s="3">
        <v>0.0297177419354839</v>
      </c>
      <c r="G44" s="3">
        <v>0.0498387096774194</v>
      </c>
      <c r="H44" s="3">
        <v>0.00705645161290323</v>
      </c>
      <c r="I44" s="3">
        <v>0.00314516129032258</v>
      </c>
      <c r="J44" s="3">
        <v>0.40590564738292</v>
      </c>
      <c r="K44" s="35"/>
      <c r="L44" s="35"/>
      <c r="M44" s="35"/>
      <c r="N44" s="35"/>
      <c r="O44" s="35"/>
      <c r="P44" s="35"/>
      <c r="Q44" s="35"/>
      <c r="R44" s="35"/>
    </row>
    <row r="45" spans="1:18">
      <c r="A45" s="32" t="s">
        <v>85</v>
      </c>
      <c r="B45" s="33" t="s">
        <v>94</v>
      </c>
      <c r="C45" s="34" t="s">
        <v>95</v>
      </c>
      <c r="D45" s="3">
        <v>0.529276197335254</v>
      </c>
      <c r="E45" s="3">
        <v>0.798127475693194</v>
      </c>
      <c r="F45" s="3">
        <v>0.0331652862801584</v>
      </c>
      <c r="G45" s="3">
        <v>0.0473172488296723</v>
      </c>
      <c r="H45" s="3">
        <v>0.00792221822110191</v>
      </c>
      <c r="I45" s="3">
        <v>0.00273676629456248</v>
      </c>
      <c r="J45" s="3">
        <v>0.258809544026492</v>
      </c>
      <c r="K45" s="35"/>
      <c r="L45" s="35"/>
      <c r="M45" s="35"/>
      <c r="N45" s="35"/>
      <c r="O45" s="35"/>
      <c r="P45" s="35"/>
      <c r="Q45" s="35"/>
      <c r="R45" s="35"/>
    </row>
    <row r="46" spans="1:18">
      <c r="A46" s="32" t="s">
        <v>85</v>
      </c>
      <c r="B46" s="33" t="s">
        <v>96</v>
      </c>
      <c r="C46" s="34" t="s">
        <v>97</v>
      </c>
      <c r="D46" s="3">
        <v>0.544759206798867</v>
      </c>
      <c r="E46" s="3">
        <v>0.802478753541076</v>
      </c>
      <c r="F46" s="3">
        <v>0.0354107648725212</v>
      </c>
      <c r="G46" s="3">
        <v>0.0437677053824363</v>
      </c>
      <c r="H46" s="3">
        <v>0.00860481586402266</v>
      </c>
      <c r="I46" s="3">
        <v>0.00262039660056657</v>
      </c>
      <c r="J46" s="3">
        <v>0.332721508426498</v>
      </c>
      <c r="K46" s="35"/>
      <c r="L46" s="35"/>
      <c r="M46" s="35"/>
      <c r="N46" s="35"/>
      <c r="O46" s="35"/>
      <c r="P46" s="35"/>
      <c r="Q46" s="35"/>
      <c r="R46" s="35"/>
    </row>
    <row r="47" spans="1:10">
      <c r="A47" s="32" t="s">
        <v>85</v>
      </c>
      <c r="B47" s="33" t="s">
        <v>98</v>
      </c>
      <c r="C47" s="34" t="s">
        <v>99</v>
      </c>
      <c r="D47" s="3">
        <v>0.553653161552806</v>
      </c>
      <c r="E47" s="3">
        <v>0.780132225800983</v>
      </c>
      <c r="F47" s="3">
        <v>0.0352941176470588</v>
      </c>
      <c r="G47" s="3">
        <v>0.0455670452619088</v>
      </c>
      <c r="H47" s="3">
        <v>0.00742498728598067</v>
      </c>
      <c r="I47" s="3">
        <v>0.00311917274114257</v>
      </c>
      <c r="J47" s="3">
        <v>0.334860508876708</v>
      </c>
    </row>
    <row r="48" spans="1:10">
      <c r="A48" s="32" t="s">
        <v>85</v>
      </c>
      <c r="B48" s="33" t="s">
        <v>100</v>
      </c>
      <c r="C48" s="34" t="s">
        <v>101</v>
      </c>
      <c r="D48" s="3">
        <v>0.591033904673816</v>
      </c>
      <c r="E48" s="3">
        <v>0.599705176749429</v>
      </c>
      <c r="F48" s="3">
        <v>0.0356678324710235</v>
      </c>
      <c r="G48" s="3">
        <v>0.0303494522646472</v>
      </c>
      <c r="H48" s="3">
        <v>0.0080353787900685</v>
      </c>
      <c r="I48" s="3">
        <v>0.00196548833713906</v>
      </c>
      <c r="J48" s="3">
        <v>0.271471691210098</v>
      </c>
    </row>
    <row r="49" spans="1:10">
      <c r="A49" s="32" t="s">
        <v>85</v>
      </c>
      <c r="B49" s="33" t="s">
        <v>102</v>
      </c>
      <c r="C49" s="34" t="s">
        <v>103</v>
      </c>
      <c r="D49" s="3">
        <v>0.6288202199542</v>
      </c>
      <c r="E49" s="3">
        <v>0.539764213621328</v>
      </c>
      <c r="F49" s="3">
        <v>0.0370077181872155</v>
      </c>
      <c r="G49" s="3">
        <v>0.0293460744677843</v>
      </c>
      <c r="H49" s="3">
        <v>0.00893387238132934</v>
      </c>
      <c r="I49" s="3">
        <v>0.00322297927680869</v>
      </c>
      <c r="J49" s="3">
        <v>0.30231179608773</v>
      </c>
    </row>
    <row r="50" spans="1:10">
      <c r="A50" s="32" t="s">
        <v>85</v>
      </c>
      <c r="B50" s="33" t="s">
        <v>104</v>
      </c>
      <c r="C50" s="34" t="s">
        <v>105</v>
      </c>
      <c r="D50" s="3">
        <v>0.642262154233026</v>
      </c>
      <c r="E50" s="3">
        <v>0.466942581726739</v>
      </c>
      <c r="F50" s="3">
        <v>0.0377462279966471</v>
      </c>
      <c r="G50" s="3">
        <v>0.0259325230511316</v>
      </c>
      <c r="H50" s="3">
        <v>0.00919425817267393</v>
      </c>
      <c r="I50" s="3">
        <v>0.00214794635373009</v>
      </c>
      <c r="J50" s="3">
        <v>0.327124563445867</v>
      </c>
    </row>
    <row r="51" spans="1:10">
      <c r="A51" s="32" t="s">
        <v>85</v>
      </c>
      <c r="B51" s="33" t="s">
        <v>106</v>
      </c>
      <c r="C51" s="34" t="s">
        <v>107</v>
      </c>
      <c r="D51" s="3">
        <v>0.599396642182581</v>
      </c>
      <c r="E51" s="3">
        <v>0.588982161594963</v>
      </c>
      <c r="F51" s="3">
        <v>0.0373819517313746</v>
      </c>
      <c r="G51" s="3">
        <v>0.0347848898216159</v>
      </c>
      <c r="H51" s="3">
        <v>0.00941762854144806</v>
      </c>
      <c r="I51" s="3">
        <v>0.00194123819517314</v>
      </c>
      <c r="J51" s="3">
        <v>0.271926882441724</v>
      </c>
    </row>
    <row r="52" spans="1:10">
      <c r="A52" s="32" t="s">
        <v>85</v>
      </c>
      <c r="B52" s="33" t="s">
        <v>108</v>
      </c>
      <c r="C52" s="34" t="s">
        <v>109</v>
      </c>
      <c r="D52" s="3">
        <v>0.630611935010376</v>
      </c>
      <c r="E52" s="3">
        <v>0.539656830490459</v>
      </c>
      <c r="F52" s="3">
        <v>0.038113073847244</v>
      </c>
      <c r="G52" s="3">
        <v>0.0327985017968315</v>
      </c>
      <c r="H52" s="3">
        <v>0.00956622969074252</v>
      </c>
      <c r="I52" s="3">
        <v>0.00242951865161715</v>
      </c>
      <c r="J52" s="3">
        <v>0.146680753653812</v>
      </c>
    </row>
    <row r="53" spans="1:10">
      <c r="A53" s="32" t="s">
        <v>85</v>
      </c>
      <c r="B53" s="33" t="s">
        <v>110</v>
      </c>
      <c r="C53" s="34" t="s">
        <v>111</v>
      </c>
      <c r="D53" s="3">
        <v>0.630266298372174</v>
      </c>
      <c r="E53" s="3">
        <v>0.512000858161924</v>
      </c>
      <c r="F53" s="3">
        <v>0.0398240768054922</v>
      </c>
      <c r="G53" s="3">
        <v>0.0281584381452975</v>
      </c>
      <c r="H53" s="3">
        <v>0.00901070020649521</v>
      </c>
      <c r="I53" s="3">
        <v>0.00235994529217732</v>
      </c>
      <c r="J53" s="3">
        <v>0.272862086010875</v>
      </c>
    </row>
    <row r="54" spans="1:10">
      <c r="A54" s="32" t="s">
        <v>85</v>
      </c>
      <c r="B54" s="33" t="s">
        <v>112</v>
      </c>
      <c r="C54" s="34" t="s">
        <v>113</v>
      </c>
      <c r="D54" s="3">
        <v>0.595534076683455</v>
      </c>
      <c r="E54" s="3">
        <v>0.656962356982736</v>
      </c>
      <c r="F54" s="3">
        <v>0.0355468863722379</v>
      </c>
      <c r="G54" s="3">
        <v>0.0333634166933535</v>
      </c>
      <c r="H54" s="3">
        <v>0.00870476578648578</v>
      </c>
      <c r="I54" s="3">
        <v>0.00273661533086844</v>
      </c>
      <c r="J54" s="3">
        <v>0.255229774006553</v>
      </c>
    </row>
    <row r="55" spans="1:10">
      <c r="A55" s="32" t="s">
        <v>85</v>
      </c>
      <c r="B55" s="33" t="s">
        <v>114</v>
      </c>
      <c r="C55" s="34" t="s">
        <v>115</v>
      </c>
      <c r="D55" s="3">
        <v>0.561634533053825</v>
      </c>
      <c r="E55" s="3">
        <v>0.708081136142195</v>
      </c>
      <c r="F55" s="3">
        <v>0.0326847559715374</v>
      </c>
      <c r="G55" s="3">
        <v>0.0412766836930526</v>
      </c>
      <c r="H55" s="3">
        <v>0.00841477457261803</v>
      </c>
      <c r="I55" s="3">
        <v>0.00295255248162036</v>
      </c>
      <c r="J55" s="3">
        <v>0.274960753532182</v>
      </c>
    </row>
    <row r="56" spans="1:10">
      <c r="A56" s="32" t="s">
        <v>85</v>
      </c>
      <c r="B56" s="33" t="s">
        <v>116</v>
      </c>
      <c r="C56" s="34" t="s">
        <v>117</v>
      </c>
      <c r="D56" s="3">
        <v>0.587861660610954</v>
      </c>
      <c r="E56" s="3">
        <v>0.616067823980622</v>
      </c>
      <c r="F56" s="3">
        <v>0.0357690754945499</v>
      </c>
      <c r="G56" s="3">
        <v>0.0384335890189746</v>
      </c>
      <c r="H56" s="3">
        <v>0.0087471403579599</v>
      </c>
      <c r="I56" s="3">
        <v>0.00312205625084107</v>
      </c>
      <c r="J56" s="3">
        <v>0.291642792829664</v>
      </c>
    </row>
    <row r="57" spans="1:10">
      <c r="A57" s="32" t="s">
        <v>85</v>
      </c>
      <c r="B57" s="33" t="s">
        <v>118</v>
      </c>
      <c r="C57" s="34" t="s">
        <v>119</v>
      </c>
      <c r="D57" s="3">
        <v>0.565884933355829</v>
      </c>
      <c r="E57" s="3">
        <v>0.669748608064788</v>
      </c>
      <c r="F57" s="3">
        <v>0.0351273831618019</v>
      </c>
      <c r="G57" s="3">
        <v>0.039480344187616</v>
      </c>
      <c r="H57" s="3">
        <v>0.00752488611439177</v>
      </c>
      <c r="I57" s="3">
        <v>0.00215960857094652</v>
      </c>
      <c r="J57" s="3">
        <v>0.401764538468836</v>
      </c>
    </row>
    <row r="58" spans="1:10">
      <c r="A58" s="32" t="s">
        <v>85</v>
      </c>
      <c r="B58" s="33" t="s">
        <v>120</v>
      </c>
      <c r="C58" s="34" t="s">
        <v>121</v>
      </c>
      <c r="D58" s="3">
        <v>0.288169548713623</v>
      </c>
      <c r="E58" s="3">
        <v>1.49472796288486</v>
      </c>
      <c r="F58" s="3">
        <v>0.0183818360747926</v>
      </c>
      <c r="G58" s="3">
        <v>0.0911008013496415</v>
      </c>
      <c r="H58" s="3">
        <v>0.0047799803177281</v>
      </c>
      <c r="I58" s="3">
        <v>0.00456909883312245</v>
      </c>
      <c r="J58" s="3">
        <v>0.309613259668508</v>
      </c>
    </row>
    <row r="59" spans="1:10">
      <c r="A59" s="32" t="s">
        <v>85</v>
      </c>
      <c r="B59" s="33" t="s">
        <v>122</v>
      </c>
      <c r="C59" s="34" t="s">
        <v>123</v>
      </c>
      <c r="D59" s="3">
        <v>0.429697486152535</v>
      </c>
      <c r="E59" s="3">
        <v>1.06827865360034</v>
      </c>
      <c r="F59" s="3">
        <v>0.0266297400937367</v>
      </c>
      <c r="G59" s="3">
        <v>0.055922454196847</v>
      </c>
      <c r="H59" s="3">
        <v>0.00633787814230933</v>
      </c>
      <c r="I59" s="3">
        <v>0.00415423945462292</v>
      </c>
      <c r="J59" s="3">
        <v>0.199943358821863</v>
      </c>
    </row>
    <row r="60" spans="1:10">
      <c r="A60" s="32" t="s">
        <v>85</v>
      </c>
      <c r="B60" s="33" t="s">
        <v>124</v>
      </c>
      <c r="C60" s="34" t="s">
        <v>125</v>
      </c>
      <c r="D60" s="3">
        <v>0.425199066999115</v>
      </c>
      <c r="E60" s="3">
        <v>1.0761682618837</v>
      </c>
      <c r="F60" s="3">
        <v>0.0257781709965415</v>
      </c>
      <c r="G60" s="3">
        <v>0.0595994530684469</v>
      </c>
      <c r="H60" s="3">
        <v>0.00595190219576932</v>
      </c>
      <c r="I60" s="3">
        <v>0.00434327998069653</v>
      </c>
      <c r="J60" s="3">
        <v>0.158730158730159</v>
      </c>
    </row>
    <row r="61" spans="1:10">
      <c r="A61" s="32" t="s">
        <v>85</v>
      </c>
      <c r="B61" s="33" t="s">
        <v>126</v>
      </c>
      <c r="C61" s="34" t="s">
        <v>127</v>
      </c>
      <c r="D61" s="3">
        <v>0.558609005283712</v>
      </c>
      <c r="E61" s="3">
        <v>0.713990351481737</v>
      </c>
      <c r="F61" s="3">
        <v>0.0342866988283942</v>
      </c>
      <c r="G61" s="3">
        <v>0.0444521019986216</v>
      </c>
      <c r="H61" s="3">
        <v>0.0083850218240294</v>
      </c>
      <c r="I61" s="3">
        <v>0.00275671950379049</v>
      </c>
      <c r="J61" s="3">
        <v>0.282782556209446</v>
      </c>
    </row>
    <row r="62" spans="1:10">
      <c r="A62" s="32" t="s">
        <v>85</v>
      </c>
      <c r="B62" s="33" t="s">
        <v>128</v>
      </c>
      <c r="C62" s="34" t="s">
        <v>129</v>
      </c>
      <c r="D62" s="3">
        <v>0.267968681270344</v>
      </c>
      <c r="E62" s="3">
        <v>1.60886777513856</v>
      </c>
      <c r="F62" s="3">
        <v>0.0183865575789566</v>
      </c>
      <c r="G62" s="3">
        <v>0.0907891264185801</v>
      </c>
      <c r="H62" s="3">
        <v>0.00475059382422803</v>
      </c>
      <c r="I62" s="3">
        <v>0.0063341250989707</v>
      </c>
      <c r="J62" s="3">
        <v>0.0940594059405941</v>
      </c>
    </row>
    <row r="63" spans="1:10">
      <c r="A63" s="32" t="s">
        <v>149</v>
      </c>
      <c r="B63" s="33" t="s">
        <v>150</v>
      </c>
      <c r="C63" s="34" t="s">
        <v>151</v>
      </c>
      <c r="D63" s="3">
        <v>3.49054186799766</v>
      </c>
      <c r="E63" s="3">
        <v>0.183076249137153</v>
      </c>
      <c r="F63" s="3">
        <v>0.222488451123029</v>
      </c>
      <c r="G63" s="3">
        <v>0.0123785376732332</v>
      </c>
      <c r="H63" s="3">
        <v>0.00780544788403335</v>
      </c>
      <c r="I63" s="3">
        <v>0.000564169277332342</v>
      </c>
      <c r="J63" s="3">
        <v>0.0805539565909322</v>
      </c>
    </row>
    <row r="64" spans="1:10">
      <c r="A64" s="32" t="s">
        <v>149</v>
      </c>
      <c r="B64" s="33" t="s">
        <v>153</v>
      </c>
      <c r="C64" s="34" t="s">
        <v>154</v>
      </c>
      <c r="D64" s="3">
        <v>3.39550985354583</v>
      </c>
      <c r="E64" s="3">
        <v>0.218883239471944</v>
      </c>
      <c r="F64" s="3">
        <v>0.212605546562089</v>
      </c>
      <c r="G64" s="3">
        <v>0.0126085866070818</v>
      </c>
      <c r="H64" s="3">
        <v>0.00760771259414639</v>
      </c>
      <c r="I64" s="3">
        <v>0.000570008436124855</v>
      </c>
      <c r="J64" s="3">
        <v>0.0856094845090719</v>
      </c>
    </row>
    <row r="65" spans="1:10">
      <c r="A65" s="37" t="s">
        <v>149</v>
      </c>
      <c r="B65" s="31" t="s">
        <v>155</v>
      </c>
      <c r="C65" s="31" t="s">
        <v>156</v>
      </c>
      <c r="D65" s="38">
        <v>3.46790934774598</v>
      </c>
      <c r="E65" s="38">
        <v>0.229954858125537</v>
      </c>
      <c r="F65" s="38">
        <v>0.222147156368996</v>
      </c>
      <c r="G65" s="38">
        <v>0.0146250460631372</v>
      </c>
      <c r="H65" s="38">
        <v>0.00819923842279818</v>
      </c>
      <c r="I65" s="38">
        <v>0.000644883920894239</v>
      </c>
      <c r="J65" s="38">
        <v>0.0894120593575856</v>
      </c>
    </row>
    <row r="66" spans="1:9">
      <c r="A66" s="39" t="s">
        <v>278</v>
      </c>
      <c r="B66" s="40"/>
      <c r="C66" s="40"/>
      <c r="D66" s="40"/>
      <c r="E66" s="40"/>
      <c r="F66" s="40"/>
      <c r="G66" s="40"/>
      <c r="H66" s="40"/>
      <c r="I66" s="40"/>
    </row>
    <row r="67" spans="1:6">
      <c r="A67" s="32"/>
      <c r="B67" s="32"/>
      <c r="C67" s="34"/>
      <c r="D67" s="34"/>
      <c r="E67" s="34"/>
      <c r="F67" s="34"/>
    </row>
    <row r="68" spans="1:6">
      <c r="A68" s="32"/>
      <c r="B68" s="32"/>
      <c r="C68" s="34"/>
      <c r="D68" s="34"/>
      <c r="E68" s="34"/>
      <c r="F68" s="34"/>
    </row>
    <row r="69" spans="1:6">
      <c r="A69" s="32"/>
      <c r="B69" s="32"/>
      <c r="C69" s="34"/>
      <c r="D69" s="34"/>
      <c r="E69" s="34"/>
      <c r="F69" s="34"/>
    </row>
    <row r="70" spans="1:6">
      <c r="A70" s="32"/>
      <c r="B70" s="32"/>
      <c r="C70" s="34"/>
      <c r="D70" s="34"/>
      <c r="E70" s="34"/>
      <c r="F70" s="34"/>
    </row>
    <row r="71" spans="1:6">
      <c r="A71" s="32"/>
      <c r="B71" s="32"/>
      <c r="C71" s="34"/>
      <c r="D71" s="34"/>
      <c r="E71" s="34"/>
      <c r="F71" s="34"/>
    </row>
    <row r="72" spans="1:6">
      <c r="A72" s="32"/>
      <c r="B72" s="32"/>
      <c r="C72" s="34"/>
      <c r="D72" s="34"/>
      <c r="E72" s="34"/>
      <c r="F72" s="34"/>
    </row>
    <row r="73" spans="1:6">
      <c r="A73" s="32"/>
      <c r="B73" s="32"/>
      <c r="C73" s="34"/>
      <c r="D73" s="34"/>
      <c r="E73" s="34"/>
      <c r="F73" s="34"/>
    </row>
    <row r="74" spans="1:6">
      <c r="A74" s="32"/>
      <c r="B74" s="32"/>
      <c r="C74" s="34"/>
      <c r="D74" s="34"/>
      <c r="E74" s="34"/>
      <c r="F74" s="34"/>
    </row>
    <row r="75" spans="1:6">
      <c r="A75" s="32"/>
      <c r="B75" s="32"/>
      <c r="C75" s="34"/>
      <c r="D75" s="34"/>
      <c r="E75" s="34"/>
      <c r="F75" s="34"/>
    </row>
    <row r="76" spans="1:6">
      <c r="A76" s="32"/>
      <c r="B76" s="32"/>
      <c r="C76" s="34"/>
      <c r="D76" s="34"/>
      <c r="E76" s="34"/>
      <c r="F76" s="34"/>
    </row>
    <row r="77" spans="1:6">
      <c r="A77" s="32"/>
      <c r="B77" s="32"/>
      <c r="C77" s="34"/>
      <c r="D77" s="34"/>
      <c r="E77" s="34"/>
      <c r="F77" s="34"/>
    </row>
    <row r="78" spans="1:6">
      <c r="A78" s="32"/>
      <c r="B78" s="32"/>
      <c r="C78" s="34"/>
      <c r="D78" s="34"/>
      <c r="E78" s="34"/>
      <c r="F78" s="34"/>
    </row>
    <row r="79" spans="1:6">
      <c r="A79" s="32"/>
      <c r="B79" s="32"/>
      <c r="C79" s="34"/>
      <c r="D79" s="34"/>
      <c r="E79" s="34"/>
      <c r="F79" s="34"/>
    </row>
    <row r="80" spans="1:6">
      <c r="A80" s="32"/>
      <c r="B80" s="32"/>
      <c r="C80" s="34"/>
      <c r="D80" s="34"/>
      <c r="E80" s="34"/>
      <c r="F80" s="34"/>
    </row>
    <row r="81" spans="1:6">
      <c r="A81" s="32"/>
      <c r="B81" s="32"/>
      <c r="C81" s="34"/>
      <c r="D81" s="34"/>
      <c r="E81" s="34"/>
      <c r="F81" s="34"/>
    </row>
    <row r="82" spans="1:6">
      <c r="A82" s="32"/>
      <c r="B82" s="32"/>
      <c r="C82" s="34"/>
      <c r="D82" s="34"/>
      <c r="E82" s="34"/>
      <c r="F82" s="34"/>
    </row>
    <row r="83" spans="1:6">
      <c r="A83" s="32"/>
      <c r="B83" s="32"/>
      <c r="C83" s="34"/>
      <c r="D83" s="34"/>
      <c r="E83" s="34"/>
      <c r="F83" s="34"/>
    </row>
    <row r="84" spans="1:6">
      <c r="A84" s="32"/>
      <c r="B84" s="32"/>
      <c r="C84" s="34"/>
      <c r="D84" s="34"/>
      <c r="E84" s="34"/>
      <c r="F84" s="34"/>
    </row>
    <row r="85" spans="1:6">
      <c r="A85" s="32"/>
      <c r="B85" s="32"/>
      <c r="C85" s="34"/>
      <c r="D85" s="34"/>
      <c r="E85" s="34"/>
      <c r="F85" s="34"/>
    </row>
    <row r="86" spans="1:6">
      <c r="A86" s="32"/>
      <c r="B86" s="32"/>
      <c r="C86" s="34"/>
      <c r="D86" s="34"/>
      <c r="E86" s="34"/>
      <c r="F86" s="34"/>
    </row>
    <row r="87" spans="1:6">
      <c r="A87" s="32"/>
      <c r="B87" s="32"/>
      <c r="C87" s="34"/>
      <c r="D87" s="34"/>
      <c r="E87" s="34"/>
      <c r="F87" s="34"/>
    </row>
    <row r="88" spans="1:6">
      <c r="A88" s="32"/>
      <c r="B88" s="32"/>
      <c r="C88" s="34"/>
      <c r="D88" s="34"/>
      <c r="E88" s="34"/>
      <c r="F88" s="34"/>
    </row>
    <row r="89" spans="1:6">
      <c r="A89" s="32"/>
      <c r="B89" s="32"/>
      <c r="C89" s="34"/>
      <c r="D89" s="34"/>
      <c r="E89" s="34"/>
      <c r="F89" s="34"/>
    </row>
    <row r="90" spans="1:6">
      <c r="A90" s="32"/>
      <c r="B90" s="32"/>
      <c r="C90" s="34"/>
      <c r="D90" s="34"/>
      <c r="E90" s="34"/>
      <c r="F90" s="34"/>
    </row>
    <row r="91" spans="1:6">
      <c r="A91" s="32"/>
      <c r="B91" s="32"/>
      <c r="C91" s="34"/>
      <c r="D91" s="34"/>
      <c r="E91" s="34"/>
      <c r="F91" s="34"/>
    </row>
    <row r="92" spans="1:6">
      <c r="A92" s="32"/>
      <c r="B92" s="32"/>
      <c r="C92" s="34"/>
      <c r="D92" s="34"/>
      <c r="E92" s="34"/>
      <c r="F92" s="34"/>
    </row>
    <row r="93" spans="1:6">
      <c r="A93" s="32"/>
      <c r="B93" s="32"/>
      <c r="C93" s="34"/>
      <c r="D93" s="34"/>
      <c r="E93" s="34"/>
      <c r="F93" s="34"/>
    </row>
    <row r="94" spans="1:6">
      <c r="A94" s="32"/>
      <c r="B94" s="32"/>
      <c r="C94" s="34"/>
      <c r="D94" s="34"/>
      <c r="E94" s="34"/>
      <c r="F94" s="34"/>
    </row>
    <row r="95" spans="1:6">
      <c r="A95" s="32"/>
      <c r="B95" s="32"/>
      <c r="C95" s="34"/>
      <c r="D95" s="34"/>
      <c r="E95" s="34"/>
      <c r="F95" s="34"/>
    </row>
    <row r="96" spans="1:6">
      <c r="A96" s="32"/>
      <c r="B96" s="32"/>
      <c r="C96" s="34"/>
      <c r="D96" s="34"/>
      <c r="E96" s="34"/>
      <c r="F96" s="34"/>
    </row>
    <row r="97" spans="1:6">
      <c r="A97" s="32"/>
      <c r="B97" s="32"/>
      <c r="C97" s="34"/>
      <c r="D97" s="34"/>
      <c r="E97" s="34"/>
      <c r="F97" s="34"/>
    </row>
    <row r="98" spans="1:6">
      <c r="A98" s="32"/>
      <c r="B98" s="32"/>
      <c r="C98" s="34"/>
      <c r="D98" s="34"/>
      <c r="E98" s="34"/>
      <c r="F98" s="34"/>
    </row>
    <row r="99" spans="1:6">
      <c r="A99" s="32"/>
      <c r="B99" s="32"/>
      <c r="C99" s="34"/>
      <c r="D99" s="34"/>
      <c r="E99" s="34"/>
      <c r="F99" s="34"/>
    </row>
    <row r="100" spans="1:6">
      <c r="A100" s="32"/>
      <c r="B100" s="32"/>
      <c r="C100" s="34"/>
      <c r="D100" s="34"/>
      <c r="E100" s="34"/>
      <c r="F100" s="34"/>
    </row>
    <row r="101" spans="1:6">
      <c r="A101" s="32"/>
      <c r="B101" s="32"/>
      <c r="C101" s="34"/>
      <c r="D101" s="34"/>
      <c r="E101" s="34"/>
      <c r="F101" s="34"/>
    </row>
    <row r="102" spans="1:6">
      <c r="A102" s="32"/>
      <c r="B102" s="32"/>
      <c r="C102" s="34"/>
      <c r="D102" s="34"/>
      <c r="E102" s="34"/>
      <c r="F102" s="34"/>
    </row>
    <row r="103" spans="1:6">
      <c r="A103" s="32"/>
      <c r="B103" s="32"/>
      <c r="C103" s="34"/>
      <c r="D103" s="34"/>
      <c r="E103" s="34"/>
      <c r="F103" s="34"/>
    </row>
    <row r="104" spans="1:6">
      <c r="A104" s="32"/>
      <c r="B104" s="32"/>
      <c r="C104" s="34"/>
      <c r="D104" s="34"/>
      <c r="E104" s="34"/>
      <c r="F104" s="34"/>
    </row>
    <row r="105" spans="1:6">
      <c r="A105" s="32"/>
      <c r="B105" s="32"/>
      <c r="C105" s="34"/>
      <c r="D105" s="34"/>
      <c r="E105" s="34"/>
      <c r="F105" s="34"/>
    </row>
    <row r="106" spans="1:6">
      <c r="A106" s="32"/>
      <c r="B106" s="32"/>
      <c r="C106" s="34"/>
      <c r="D106" s="34"/>
      <c r="E106" s="34"/>
      <c r="F106" s="34"/>
    </row>
    <row r="107" spans="1:6">
      <c r="A107" s="32"/>
      <c r="B107" s="32"/>
      <c r="C107" s="34"/>
      <c r="D107" s="34"/>
      <c r="E107" s="34"/>
      <c r="F107" s="34"/>
    </row>
    <row r="108" spans="1:6">
      <c r="A108" s="32"/>
      <c r="B108" s="32"/>
      <c r="C108" s="34"/>
      <c r="D108" s="34"/>
      <c r="E108" s="34"/>
      <c r="F108" s="34"/>
    </row>
    <row r="109" spans="1:6">
      <c r="A109" s="32"/>
      <c r="B109" s="32"/>
      <c r="C109" s="34"/>
      <c r="D109" s="34"/>
      <c r="E109" s="34"/>
      <c r="F109" s="34"/>
    </row>
    <row r="110" spans="1:6">
      <c r="A110" s="32"/>
      <c r="B110" s="32"/>
      <c r="C110" s="34"/>
      <c r="D110" s="34"/>
      <c r="E110" s="34"/>
      <c r="F110" s="34"/>
    </row>
    <row r="111" spans="1:6">
      <c r="A111" s="32"/>
      <c r="B111" s="32"/>
      <c r="C111" s="34"/>
      <c r="D111" s="34"/>
      <c r="E111" s="34"/>
      <c r="F111" s="34"/>
    </row>
    <row r="112" spans="1:6">
      <c r="A112" s="32"/>
      <c r="B112" s="32"/>
      <c r="C112" s="34"/>
      <c r="D112" s="34"/>
      <c r="E112" s="34"/>
      <c r="F112" s="34"/>
    </row>
    <row r="113" spans="1:6">
      <c r="A113" s="32"/>
      <c r="B113" s="32"/>
      <c r="C113" s="34"/>
      <c r="D113" s="34"/>
      <c r="E113" s="34"/>
      <c r="F113" s="34"/>
    </row>
    <row r="114" spans="1:6">
      <c r="A114" s="32"/>
      <c r="B114" s="32"/>
      <c r="C114" s="34"/>
      <c r="D114" s="34"/>
      <c r="E114" s="34"/>
      <c r="F114" s="34"/>
    </row>
    <row r="115" spans="1:6">
      <c r="A115" s="32"/>
      <c r="B115" s="32"/>
      <c r="C115" s="34"/>
      <c r="D115" s="34"/>
      <c r="E115" s="34"/>
      <c r="F115" s="34"/>
    </row>
    <row r="116" spans="1:6">
      <c r="A116" s="32"/>
      <c r="B116" s="32"/>
      <c r="C116" s="34"/>
      <c r="D116" s="34"/>
      <c r="E116" s="34"/>
      <c r="F116" s="34"/>
    </row>
    <row r="117" spans="1:6">
      <c r="A117" s="32"/>
      <c r="B117" s="32"/>
      <c r="C117" s="34"/>
      <c r="D117" s="34"/>
      <c r="E117" s="34"/>
      <c r="F117" s="34"/>
    </row>
    <row r="118" spans="1:6">
      <c r="A118" s="32"/>
      <c r="B118" s="32"/>
      <c r="C118" s="34"/>
      <c r="D118" s="34"/>
      <c r="E118" s="34"/>
      <c r="F118" s="34"/>
    </row>
    <row r="119" spans="1:6">
      <c r="A119" s="32"/>
      <c r="B119" s="32"/>
      <c r="C119" s="34"/>
      <c r="D119" s="34"/>
      <c r="E119" s="34"/>
      <c r="F119" s="34"/>
    </row>
    <row r="120" spans="1:6">
      <c r="A120" s="32"/>
      <c r="B120" s="32"/>
      <c r="C120" s="34"/>
      <c r="D120" s="34"/>
      <c r="E120" s="34"/>
      <c r="F120" s="34"/>
    </row>
    <row r="121" spans="1:6">
      <c r="A121" s="32"/>
      <c r="B121" s="32"/>
      <c r="C121" s="34"/>
      <c r="D121" s="34"/>
      <c r="E121" s="34"/>
      <c r="F121" s="34"/>
    </row>
    <row r="122" spans="1:6">
      <c r="A122" s="32"/>
      <c r="B122" s="32"/>
      <c r="C122" s="34"/>
      <c r="D122" s="34"/>
      <c r="E122" s="34"/>
      <c r="F122" s="34"/>
    </row>
    <row r="123" spans="1:6">
      <c r="A123" s="32"/>
      <c r="B123" s="32"/>
      <c r="C123" s="34"/>
      <c r="D123" s="34"/>
      <c r="E123" s="34"/>
      <c r="F123" s="34"/>
    </row>
    <row r="124" spans="1:6">
      <c r="A124" s="32"/>
      <c r="B124" s="32"/>
      <c r="C124" s="34"/>
      <c r="D124" s="34"/>
      <c r="E124" s="34"/>
      <c r="F124" s="34"/>
    </row>
    <row r="125" spans="1:6">
      <c r="A125" s="32"/>
      <c r="B125" s="32"/>
      <c r="C125" s="34"/>
      <c r="D125" s="34"/>
      <c r="E125" s="34"/>
      <c r="F125" s="34"/>
    </row>
    <row r="126" spans="1:6">
      <c r="A126" s="32"/>
      <c r="B126" s="32"/>
      <c r="C126" s="34"/>
      <c r="D126" s="34"/>
      <c r="E126" s="34"/>
      <c r="F126" s="34"/>
    </row>
    <row r="127" spans="1:6">
      <c r="A127" s="32"/>
      <c r="B127" s="32"/>
      <c r="C127" s="34"/>
      <c r="D127" s="34"/>
      <c r="E127" s="34"/>
      <c r="F127" s="34"/>
    </row>
    <row r="128" spans="1:6">
      <c r="A128" s="32"/>
      <c r="B128" s="32"/>
      <c r="C128" s="34"/>
      <c r="D128" s="34"/>
      <c r="E128" s="34"/>
      <c r="F128" s="34"/>
    </row>
    <row r="129" spans="1:6">
      <c r="A129" s="32"/>
      <c r="B129" s="32"/>
      <c r="C129" s="34"/>
      <c r="D129" s="34"/>
      <c r="E129" s="34"/>
      <c r="F129" s="34"/>
    </row>
    <row r="130" spans="1:6">
      <c r="A130" s="32"/>
      <c r="B130" s="32"/>
      <c r="C130" s="34"/>
      <c r="D130" s="34"/>
      <c r="E130" s="34"/>
      <c r="F130" s="34"/>
    </row>
    <row r="131" spans="1:6">
      <c r="A131" s="32"/>
      <c r="B131" s="32"/>
      <c r="C131" s="34"/>
      <c r="D131" s="34"/>
      <c r="E131" s="34"/>
      <c r="F131" s="34"/>
    </row>
    <row r="132" spans="1:6">
      <c r="A132" s="32"/>
      <c r="B132" s="32"/>
      <c r="C132" s="34"/>
      <c r="D132" s="34"/>
      <c r="E132" s="34"/>
      <c r="F132" s="34"/>
    </row>
    <row r="133" spans="1:6">
      <c r="A133" s="32"/>
      <c r="B133" s="32"/>
      <c r="C133" s="34"/>
      <c r="D133" s="34"/>
      <c r="E133" s="34"/>
      <c r="F133" s="34"/>
    </row>
    <row r="134" spans="1:6">
      <c r="A134" s="32"/>
      <c r="B134" s="32"/>
      <c r="C134" s="34"/>
      <c r="D134" s="34"/>
      <c r="E134" s="34"/>
      <c r="F134" s="34"/>
    </row>
    <row r="135" spans="1:6">
      <c r="A135" s="32"/>
      <c r="B135" s="32"/>
      <c r="C135" s="34"/>
      <c r="D135" s="34"/>
      <c r="E135" s="34"/>
      <c r="F135" s="34"/>
    </row>
    <row r="136" spans="1:6">
      <c r="A136" s="32"/>
      <c r="B136" s="32"/>
      <c r="C136" s="34"/>
      <c r="D136" s="34"/>
      <c r="E136" s="34"/>
      <c r="F136" s="34"/>
    </row>
    <row r="137" spans="1:6">
      <c r="A137" s="32"/>
      <c r="B137" s="32"/>
      <c r="C137" s="34"/>
      <c r="D137" s="34"/>
      <c r="E137" s="34"/>
      <c r="F137" s="34"/>
    </row>
    <row r="138" spans="1:6">
      <c r="A138" s="32"/>
      <c r="B138" s="32"/>
      <c r="C138" s="34"/>
      <c r="D138" s="34"/>
      <c r="E138" s="34"/>
      <c r="F138" s="34"/>
    </row>
    <row r="139" spans="1:6">
      <c r="A139" s="32"/>
      <c r="B139" s="32"/>
      <c r="C139" s="34"/>
      <c r="D139" s="34"/>
      <c r="E139" s="34"/>
      <c r="F139" s="34"/>
    </row>
    <row r="140" spans="1:6">
      <c r="A140" s="32"/>
      <c r="B140" s="32"/>
      <c r="C140" s="34"/>
      <c r="D140" s="34"/>
      <c r="E140" s="34"/>
      <c r="F140" s="34"/>
    </row>
    <row r="141" spans="1:6">
      <c r="A141" s="32"/>
      <c r="B141" s="32"/>
      <c r="C141" s="34"/>
      <c r="D141" s="34"/>
      <c r="E141" s="34"/>
      <c r="F141" s="34"/>
    </row>
    <row r="142" spans="1:6">
      <c r="A142" s="32"/>
      <c r="B142" s="32"/>
      <c r="C142" s="34"/>
      <c r="D142" s="34"/>
      <c r="E142" s="34"/>
      <c r="F142" s="34"/>
    </row>
    <row r="143" spans="1:6">
      <c r="A143" s="32"/>
      <c r="B143" s="32"/>
      <c r="C143" s="34"/>
      <c r="D143" s="34"/>
      <c r="E143" s="34"/>
      <c r="F143" s="34"/>
    </row>
    <row r="144" spans="1:6">
      <c r="A144" s="32"/>
      <c r="B144" s="32"/>
      <c r="C144" s="34"/>
      <c r="D144" s="34"/>
      <c r="E144" s="34"/>
      <c r="F144" s="34"/>
    </row>
    <row r="145" spans="1:6">
      <c r="A145" s="32"/>
      <c r="B145" s="32"/>
      <c r="C145" s="34"/>
      <c r="D145" s="34"/>
      <c r="E145" s="34"/>
      <c r="F145" s="34"/>
    </row>
    <row r="146" spans="1:6">
      <c r="A146" s="32"/>
      <c r="B146" s="32"/>
      <c r="C146" s="34"/>
      <c r="D146" s="34"/>
      <c r="E146" s="34"/>
      <c r="F146" s="34"/>
    </row>
    <row r="147" spans="1:6">
      <c r="A147" s="32"/>
      <c r="B147" s="32"/>
      <c r="C147" s="34"/>
      <c r="D147" s="34"/>
      <c r="E147" s="34"/>
      <c r="F147" s="34"/>
    </row>
    <row r="148" spans="1:6">
      <c r="A148" s="32"/>
      <c r="B148" s="32"/>
      <c r="C148" s="34"/>
      <c r="D148" s="34"/>
      <c r="E148" s="34"/>
      <c r="F148" s="34"/>
    </row>
    <row r="149" spans="1:6">
      <c r="A149" s="32"/>
      <c r="B149" s="32"/>
      <c r="C149" s="34"/>
      <c r="D149" s="34"/>
      <c r="E149" s="34"/>
      <c r="F149" s="34"/>
    </row>
    <row r="150" spans="1:6">
      <c r="A150" s="32"/>
      <c r="B150" s="32"/>
      <c r="C150" s="34"/>
      <c r="D150" s="34"/>
      <c r="E150" s="34"/>
      <c r="F150" s="34"/>
    </row>
    <row r="151" spans="1:6">
      <c r="A151" s="32"/>
      <c r="B151" s="32"/>
      <c r="C151" s="34"/>
      <c r="D151" s="34"/>
      <c r="E151" s="34"/>
      <c r="F151" s="34"/>
    </row>
    <row r="152" spans="1:6">
      <c r="A152" s="32"/>
      <c r="B152" s="32"/>
      <c r="C152" s="34"/>
      <c r="D152" s="34"/>
      <c r="E152" s="34"/>
      <c r="F152" s="34"/>
    </row>
    <row r="153" spans="1:6">
      <c r="A153" s="32"/>
      <c r="B153" s="32"/>
      <c r="C153" s="34"/>
      <c r="D153" s="34"/>
      <c r="E153" s="34"/>
      <c r="F153" s="34"/>
    </row>
    <row r="154" spans="1:6">
      <c r="A154" s="32"/>
      <c r="B154" s="32"/>
      <c r="C154" s="34"/>
      <c r="D154" s="34"/>
      <c r="E154" s="34"/>
      <c r="F154" s="34"/>
    </row>
    <row r="155" spans="1:6">
      <c r="A155" s="32"/>
      <c r="B155" s="32"/>
      <c r="C155" s="34"/>
      <c r="D155" s="34"/>
      <c r="E155" s="34"/>
      <c r="F155" s="34"/>
    </row>
    <row r="156" spans="1:6">
      <c r="A156" s="32"/>
      <c r="B156" s="32"/>
      <c r="C156" s="34"/>
      <c r="D156" s="34"/>
      <c r="E156" s="34"/>
      <c r="F156" s="34"/>
    </row>
    <row r="157" spans="1:6">
      <c r="A157" s="32"/>
      <c r="B157" s="32"/>
      <c r="C157" s="34"/>
      <c r="D157" s="34"/>
      <c r="E157" s="34"/>
      <c r="F157" s="34"/>
    </row>
    <row r="158" spans="1:6">
      <c r="A158" s="32"/>
      <c r="B158" s="32"/>
      <c r="C158" s="34"/>
      <c r="D158" s="34"/>
      <c r="E158" s="34"/>
      <c r="F158" s="34"/>
    </row>
    <row r="159" spans="1:6">
      <c r="A159" s="32"/>
      <c r="B159" s="32"/>
      <c r="C159" s="34"/>
      <c r="D159" s="34"/>
      <c r="E159" s="34"/>
      <c r="F159" s="34"/>
    </row>
    <row r="160" spans="1:6">
      <c r="A160" s="32"/>
      <c r="B160" s="32"/>
      <c r="C160" s="34"/>
      <c r="D160" s="34"/>
      <c r="E160" s="34"/>
      <c r="F160" s="34"/>
    </row>
    <row r="161" spans="1:6">
      <c r="A161" s="32"/>
      <c r="B161" s="32"/>
      <c r="C161" s="34"/>
      <c r="D161" s="34"/>
      <c r="E161" s="34"/>
      <c r="F161" s="34"/>
    </row>
    <row r="162" spans="1:6">
      <c r="A162" s="32"/>
      <c r="B162" s="32"/>
      <c r="C162" s="34"/>
      <c r="D162" s="34"/>
      <c r="E162" s="34"/>
      <c r="F162" s="34"/>
    </row>
    <row r="163" spans="1:6">
      <c r="A163" s="32"/>
      <c r="B163" s="32"/>
      <c r="C163" s="34"/>
      <c r="D163" s="34"/>
      <c r="E163" s="34"/>
      <c r="F163" s="34"/>
    </row>
    <row r="164" spans="1:6">
      <c r="A164" s="32"/>
      <c r="B164" s="32"/>
      <c r="C164" s="34"/>
      <c r="D164" s="34"/>
      <c r="E164" s="34"/>
      <c r="F164" s="34"/>
    </row>
    <row r="165" spans="1:6">
      <c r="A165" s="32"/>
      <c r="B165" s="32"/>
      <c r="C165" s="34"/>
      <c r="D165" s="34"/>
      <c r="E165" s="34"/>
      <c r="F165" s="34"/>
    </row>
    <row r="166" spans="1:6">
      <c r="A166" s="32"/>
      <c r="B166" s="32"/>
      <c r="C166" s="34"/>
      <c r="D166" s="34"/>
      <c r="E166" s="34"/>
      <c r="F166" s="34"/>
    </row>
    <row r="167" spans="1:6">
      <c r="A167" s="32"/>
      <c r="B167" s="32"/>
      <c r="C167" s="34"/>
      <c r="D167" s="34"/>
      <c r="E167" s="34"/>
      <c r="F167" s="34"/>
    </row>
    <row r="168" spans="1:6">
      <c r="A168" s="32"/>
      <c r="B168" s="32"/>
      <c r="C168" s="34"/>
      <c r="D168" s="34"/>
      <c r="E168" s="34"/>
      <c r="F168" s="34"/>
    </row>
    <row r="169" spans="1:6">
      <c r="A169" s="32"/>
      <c r="B169" s="32"/>
      <c r="C169" s="34"/>
      <c r="D169" s="34"/>
      <c r="E169" s="34"/>
      <c r="F169" s="34"/>
    </row>
    <row r="170" spans="1:6">
      <c r="A170" s="32"/>
      <c r="B170" s="32"/>
      <c r="C170" s="34"/>
      <c r="D170" s="34"/>
      <c r="E170" s="34"/>
      <c r="F170" s="34"/>
    </row>
    <row r="171" spans="1:6">
      <c r="A171" s="32"/>
      <c r="B171" s="32"/>
      <c r="C171" s="34"/>
      <c r="D171" s="34"/>
      <c r="E171" s="34"/>
      <c r="F171" s="34"/>
    </row>
    <row r="172" spans="1:6">
      <c r="A172" s="32"/>
      <c r="B172" s="32"/>
      <c r="C172" s="34"/>
      <c r="D172" s="34"/>
      <c r="E172" s="34"/>
      <c r="F172" s="34"/>
    </row>
    <row r="173" spans="1:6">
      <c r="A173" s="32"/>
      <c r="B173" s="32"/>
      <c r="C173" s="34"/>
      <c r="D173" s="34"/>
      <c r="E173" s="34"/>
      <c r="F173" s="34"/>
    </row>
    <row r="174" spans="1:6">
      <c r="A174" s="32"/>
      <c r="B174" s="32"/>
      <c r="C174" s="34"/>
      <c r="D174" s="34"/>
      <c r="E174" s="34"/>
      <c r="F174" s="34"/>
    </row>
    <row r="175" spans="1:6">
      <c r="A175" s="32"/>
      <c r="B175" s="32"/>
      <c r="C175" s="34"/>
      <c r="D175" s="34"/>
      <c r="E175" s="34"/>
      <c r="F175" s="34"/>
    </row>
    <row r="176" spans="1:6">
      <c r="A176" s="32"/>
      <c r="B176" s="32"/>
      <c r="C176" s="34"/>
      <c r="D176" s="34"/>
      <c r="E176" s="34"/>
      <c r="F176" s="34"/>
    </row>
    <row r="177" spans="1:6">
      <c r="A177" s="32"/>
      <c r="B177" s="32"/>
      <c r="C177" s="34"/>
      <c r="D177" s="34"/>
      <c r="E177" s="34"/>
      <c r="F177" s="34"/>
    </row>
    <row r="178" spans="1:6">
      <c r="A178" s="32"/>
      <c r="B178" s="32"/>
      <c r="C178" s="34"/>
      <c r="D178" s="34"/>
      <c r="E178" s="34"/>
      <c r="F178" s="34"/>
    </row>
    <row r="179" spans="1:6">
      <c r="A179" s="32"/>
      <c r="B179" s="32"/>
      <c r="C179" s="34"/>
      <c r="D179" s="34"/>
      <c r="E179" s="34"/>
      <c r="F179" s="34"/>
    </row>
    <row r="180" spans="1:6">
      <c r="A180" s="32"/>
      <c r="B180" s="32"/>
      <c r="C180" s="34"/>
      <c r="D180" s="34"/>
      <c r="E180" s="34"/>
      <c r="F180" s="34"/>
    </row>
    <row r="181" spans="1:6">
      <c r="A181" s="32"/>
      <c r="B181" s="32"/>
      <c r="C181" s="34"/>
      <c r="D181" s="34"/>
      <c r="E181" s="34"/>
      <c r="F181" s="34"/>
    </row>
    <row r="182" spans="1:6">
      <c r="A182" s="32"/>
      <c r="B182" s="32"/>
      <c r="C182" s="34"/>
      <c r="D182" s="34"/>
      <c r="E182" s="34"/>
      <c r="F182" s="34"/>
    </row>
    <row r="183" spans="1:6">
      <c r="A183" s="32"/>
      <c r="B183" s="32"/>
      <c r="C183" s="34"/>
      <c r="D183" s="34"/>
      <c r="E183" s="34"/>
      <c r="F183" s="34"/>
    </row>
    <row r="184" spans="1:6">
      <c r="A184" s="32"/>
      <c r="B184" s="32"/>
      <c r="C184" s="34"/>
      <c r="D184" s="34"/>
      <c r="E184" s="34"/>
      <c r="F184" s="34"/>
    </row>
    <row r="185" spans="1:6">
      <c r="A185" s="32"/>
      <c r="B185" s="32"/>
      <c r="C185" s="34"/>
      <c r="D185" s="34"/>
      <c r="E185" s="34"/>
      <c r="F185" s="34"/>
    </row>
    <row r="186" spans="1:6">
      <c r="A186" s="32"/>
      <c r="B186" s="32"/>
      <c r="C186" s="34"/>
      <c r="D186" s="34"/>
      <c r="E186" s="34"/>
      <c r="F186" s="34"/>
    </row>
    <row r="187" spans="1:6">
      <c r="A187" s="32"/>
      <c r="B187" s="32"/>
      <c r="C187" s="34"/>
      <c r="D187" s="34"/>
      <c r="E187" s="34"/>
      <c r="F187" s="34"/>
    </row>
    <row r="188" spans="1:6">
      <c r="A188" s="32"/>
      <c r="B188" s="32"/>
      <c r="C188" s="34"/>
      <c r="D188" s="34"/>
      <c r="E188" s="34"/>
      <c r="F188" s="34"/>
    </row>
    <row r="189" spans="1:6">
      <c r="A189" s="32"/>
      <c r="B189" s="32"/>
      <c r="C189" s="34"/>
      <c r="D189" s="34"/>
      <c r="E189" s="34"/>
      <c r="F189" s="34"/>
    </row>
    <row r="190" spans="1:6">
      <c r="A190" s="32"/>
      <c r="B190" s="32"/>
      <c r="C190" s="34"/>
      <c r="D190" s="34"/>
      <c r="E190" s="34"/>
      <c r="F190" s="34"/>
    </row>
    <row r="191" spans="1:6">
      <c r="A191" s="32"/>
      <c r="B191" s="32"/>
      <c r="C191" s="34"/>
      <c r="D191" s="34"/>
      <c r="E191" s="34"/>
      <c r="F191" s="34"/>
    </row>
    <row r="192" spans="1:6">
      <c r="A192" s="32"/>
      <c r="B192" s="32"/>
      <c r="C192" s="34"/>
      <c r="D192" s="34"/>
      <c r="E192" s="34"/>
      <c r="F192" s="34"/>
    </row>
    <row r="193" spans="1:6">
      <c r="A193" s="32"/>
      <c r="B193" s="32"/>
      <c r="C193" s="34"/>
      <c r="D193" s="34"/>
      <c r="E193" s="34"/>
      <c r="F193" s="34"/>
    </row>
    <row r="194" spans="1:6">
      <c r="A194" s="32"/>
      <c r="B194" s="32"/>
      <c r="C194" s="34"/>
      <c r="D194" s="34"/>
      <c r="E194" s="34"/>
      <c r="F194" s="34"/>
    </row>
    <row r="195" spans="1:6">
      <c r="A195" s="32"/>
      <c r="B195" s="32"/>
      <c r="C195" s="34"/>
      <c r="D195" s="34"/>
      <c r="E195" s="34"/>
      <c r="F195" s="34"/>
    </row>
    <row r="196" spans="1:6">
      <c r="A196" s="32"/>
      <c r="B196" s="32"/>
      <c r="C196" s="34"/>
      <c r="D196" s="34"/>
      <c r="E196" s="34"/>
      <c r="F196" s="34"/>
    </row>
    <row r="197" spans="1:6">
      <c r="A197" s="32"/>
      <c r="B197" s="32"/>
      <c r="C197" s="34"/>
      <c r="D197" s="34"/>
      <c r="E197" s="34"/>
      <c r="F197" s="34"/>
    </row>
    <row r="198" spans="1:6">
      <c r="A198" s="32"/>
      <c r="B198" s="32"/>
      <c r="C198" s="34"/>
      <c r="D198" s="34"/>
      <c r="E198" s="34"/>
      <c r="F198" s="34"/>
    </row>
    <row r="199" spans="1:6">
      <c r="A199" s="32"/>
      <c r="B199" s="32"/>
      <c r="C199" s="34"/>
      <c r="D199" s="34"/>
      <c r="E199" s="34"/>
      <c r="F199" s="34"/>
    </row>
    <row r="200" spans="1:6">
      <c r="A200" s="32"/>
      <c r="B200" s="32"/>
      <c r="C200" s="34"/>
      <c r="D200" s="34"/>
      <c r="E200" s="34"/>
      <c r="F200" s="34"/>
    </row>
    <row r="201" spans="1:6">
      <c r="A201" s="32"/>
      <c r="B201" s="32"/>
      <c r="C201" s="34"/>
      <c r="D201" s="34"/>
      <c r="E201" s="34"/>
      <c r="F201" s="34"/>
    </row>
    <row r="202" spans="1:6">
      <c r="A202" s="32"/>
      <c r="B202" s="32"/>
      <c r="C202" s="34"/>
      <c r="D202" s="34"/>
      <c r="E202" s="34"/>
      <c r="F202" s="34"/>
    </row>
    <row r="203" spans="1:6">
      <c r="A203" s="32"/>
      <c r="B203" s="32"/>
      <c r="C203" s="34"/>
      <c r="D203" s="34"/>
      <c r="E203" s="34"/>
      <c r="F203" s="34"/>
    </row>
    <row r="204" spans="1:6">
      <c r="A204" s="32"/>
      <c r="B204" s="32"/>
      <c r="C204" s="34"/>
      <c r="D204" s="34"/>
      <c r="E204" s="34"/>
      <c r="F204" s="34"/>
    </row>
    <row r="205" spans="1:6">
      <c r="A205" s="32"/>
      <c r="B205" s="32"/>
      <c r="C205" s="34"/>
      <c r="D205" s="34"/>
      <c r="E205" s="34"/>
      <c r="F205" s="34"/>
    </row>
    <row r="206" spans="1:6">
      <c r="A206" s="32"/>
      <c r="B206" s="32"/>
      <c r="C206" s="34"/>
      <c r="D206" s="34"/>
      <c r="E206" s="34"/>
      <c r="F206" s="34"/>
    </row>
    <row r="207" spans="1:6">
      <c r="A207" s="32"/>
      <c r="B207" s="32"/>
      <c r="C207" s="34"/>
      <c r="D207" s="34"/>
      <c r="E207" s="34"/>
      <c r="F207" s="34"/>
    </row>
    <row r="208" spans="1:6">
      <c r="A208" s="32"/>
      <c r="B208" s="32"/>
      <c r="C208" s="34"/>
      <c r="D208" s="34"/>
      <c r="E208" s="34"/>
      <c r="F208" s="34"/>
    </row>
    <row r="209" spans="1:6">
      <c r="A209" s="32"/>
      <c r="B209" s="32"/>
      <c r="C209" s="34"/>
      <c r="D209" s="34"/>
      <c r="E209" s="34"/>
      <c r="F209" s="34"/>
    </row>
    <row r="210" spans="1:6">
      <c r="A210" s="32"/>
      <c r="B210" s="32"/>
      <c r="C210" s="34"/>
      <c r="D210" s="34"/>
      <c r="E210" s="34"/>
      <c r="F210" s="34"/>
    </row>
    <row r="211" spans="1:6">
      <c r="A211" s="32"/>
      <c r="B211" s="32"/>
      <c r="C211" s="34"/>
      <c r="D211" s="34"/>
      <c r="E211" s="34"/>
      <c r="F211" s="34"/>
    </row>
    <row r="212" spans="1:6">
      <c r="A212" s="32"/>
      <c r="B212" s="32"/>
      <c r="C212" s="34"/>
      <c r="D212" s="34"/>
      <c r="E212" s="34"/>
      <c r="F212" s="34"/>
    </row>
    <row r="213" spans="1:6">
      <c r="A213" s="32"/>
      <c r="B213" s="32"/>
      <c r="C213" s="34"/>
      <c r="D213" s="34"/>
      <c r="E213" s="34"/>
      <c r="F213" s="34"/>
    </row>
    <row r="214" spans="1:6">
      <c r="A214" s="32"/>
      <c r="B214" s="32"/>
      <c r="C214" s="34"/>
      <c r="D214" s="34"/>
      <c r="E214" s="34"/>
      <c r="F214" s="34"/>
    </row>
    <row r="215" spans="1:6">
      <c r="A215" s="32"/>
      <c r="B215" s="32"/>
      <c r="C215" s="34"/>
      <c r="D215" s="34"/>
      <c r="E215" s="34"/>
      <c r="F215" s="34"/>
    </row>
    <row r="216" spans="1:6">
      <c r="A216" s="32"/>
      <c r="B216" s="32"/>
      <c r="C216" s="34"/>
      <c r="D216" s="34"/>
      <c r="E216" s="34"/>
      <c r="F216" s="34"/>
    </row>
    <row r="217" spans="1:6">
      <c r="A217" s="32"/>
      <c r="B217" s="32"/>
      <c r="C217" s="34"/>
      <c r="D217" s="34"/>
      <c r="E217" s="34"/>
      <c r="F217" s="34"/>
    </row>
    <row r="218" spans="1:6">
      <c r="A218" s="32"/>
      <c r="B218" s="32"/>
      <c r="C218" s="34"/>
      <c r="D218" s="34"/>
      <c r="E218" s="34"/>
      <c r="F218" s="34"/>
    </row>
    <row r="219" spans="1:6">
      <c r="A219" s="32"/>
      <c r="B219" s="32"/>
      <c r="C219" s="34"/>
      <c r="D219" s="34"/>
      <c r="E219" s="34"/>
      <c r="F219" s="34"/>
    </row>
    <row r="220" spans="1:6">
      <c r="A220" s="32"/>
      <c r="B220" s="32"/>
      <c r="C220" s="34"/>
      <c r="D220" s="34"/>
      <c r="E220" s="34"/>
      <c r="F220" s="34"/>
    </row>
    <row r="221" spans="1:6">
      <c r="A221" s="32"/>
      <c r="B221" s="32"/>
      <c r="C221" s="34"/>
      <c r="D221" s="34"/>
      <c r="E221" s="34"/>
      <c r="F221" s="34"/>
    </row>
    <row r="222" spans="1:6">
      <c r="A222" s="32"/>
      <c r="B222" s="32"/>
      <c r="C222" s="34"/>
      <c r="D222" s="34"/>
      <c r="E222" s="34"/>
      <c r="F222" s="34"/>
    </row>
    <row r="223" spans="1:6">
      <c r="A223" s="32"/>
      <c r="B223" s="32"/>
      <c r="C223" s="34"/>
      <c r="D223" s="34"/>
      <c r="E223" s="34"/>
      <c r="F223" s="34"/>
    </row>
    <row r="224" spans="1:6">
      <c r="A224" s="32"/>
      <c r="B224" s="32"/>
      <c r="C224" s="34"/>
      <c r="D224" s="34"/>
      <c r="E224" s="34"/>
      <c r="F224" s="34"/>
    </row>
    <row r="225" spans="1:6">
      <c r="A225" s="32"/>
      <c r="B225" s="32"/>
      <c r="C225" s="34"/>
      <c r="D225" s="34"/>
      <c r="E225" s="34"/>
      <c r="F225" s="34"/>
    </row>
    <row r="226" spans="1:6">
      <c r="A226" s="32"/>
      <c r="B226" s="32"/>
      <c r="C226" s="34"/>
      <c r="D226" s="34"/>
      <c r="E226" s="34"/>
      <c r="F226" s="34"/>
    </row>
    <row r="227" spans="1:6">
      <c r="A227" s="32"/>
      <c r="B227" s="32"/>
      <c r="C227" s="34"/>
      <c r="D227" s="34"/>
      <c r="E227" s="34"/>
      <c r="F227" s="34"/>
    </row>
    <row r="228" spans="1:6">
      <c r="A228" s="32"/>
      <c r="B228" s="32"/>
      <c r="C228" s="34"/>
      <c r="D228" s="34"/>
      <c r="E228" s="34"/>
      <c r="F228" s="34"/>
    </row>
    <row r="229" spans="1:6">
      <c r="A229" s="32"/>
      <c r="B229" s="32"/>
      <c r="C229" s="34"/>
      <c r="D229" s="34"/>
      <c r="E229" s="34"/>
      <c r="F229" s="34"/>
    </row>
    <row r="230" spans="1:6">
      <c r="A230" s="32"/>
      <c r="B230" s="32"/>
      <c r="C230" s="34"/>
      <c r="D230" s="34"/>
      <c r="E230" s="34"/>
      <c r="F230" s="34"/>
    </row>
    <row r="231" spans="1:6">
      <c r="A231" s="32"/>
      <c r="B231" s="32"/>
      <c r="C231" s="34"/>
      <c r="D231" s="34"/>
      <c r="E231" s="34"/>
      <c r="F231" s="34"/>
    </row>
    <row r="232" spans="1:6">
      <c r="A232" s="32"/>
      <c r="B232" s="32"/>
      <c r="C232" s="34"/>
      <c r="D232" s="34"/>
      <c r="E232" s="34"/>
      <c r="F232" s="34"/>
    </row>
    <row r="233" spans="1:6">
      <c r="A233" s="32"/>
      <c r="B233" s="32"/>
      <c r="C233" s="34"/>
      <c r="D233" s="34"/>
      <c r="E233" s="34"/>
      <c r="F233" s="34"/>
    </row>
    <row r="234" spans="1:6">
      <c r="A234" s="32"/>
      <c r="B234" s="32"/>
      <c r="C234" s="34"/>
      <c r="D234" s="34"/>
      <c r="E234" s="34"/>
      <c r="F234" s="34"/>
    </row>
    <row r="235" spans="1:6">
      <c r="A235" s="32"/>
      <c r="B235" s="32"/>
      <c r="C235" s="34"/>
      <c r="D235" s="34"/>
      <c r="E235" s="34"/>
      <c r="F235" s="34"/>
    </row>
    <row r="236" spans="1:6">
      <c r="A236" s="32"/>
      <c r="B236" s="32"/>
      <c r="C236" s="34"/>
      <c r="D236" s="34"/>
      <c r="E236" s="34"/>
      <c r="F236" s="34"/>
    </row>
    <row r="237" spans="1:6">
      <c r="A237" s="32"/>
      <c r="B237" s="32"/>
      <c r="C237" s="34"/>
      <c r="D237" s="34"/>
      <c r="E237" s="34"/>
      <c r="F237" s="34"/>
    </row>
    <row r="238" spans="1:6">
      <c r="A238" s="32"/>
      <c r="B238" s="32"/>
      <c r="C238" s="34"/>
      <c r="D238" s="34"/>
      <c r="E238" s="34"/>
      <c r="F238" s="34"/>
    </row>
    <row r="239" spans="1:6">
      <c r="A239" s="32"/>
      <c r="B239" s="32"/>
      <c r="C239" s="34"/>
      <c r="D239" s="34"/>
      <c r="E239" s="34"/>
      <c r="F239" s="34"/>
    </row>
    <row r="240" spans="1:9">
      <c r="A240" s="32"/>
      <c r="B240" s="32"/>
      <c r="C240" s="34"/>
      <c r="D240" s="34"/>
      <c r="E240" s="34"/>
      <c r="F240" s="34"/>
      <c r="G240" s="43"/>
      <c r="H240" s="43"/>
      <c r="I240" s="43"/>
    </row>
    <row r="241" spans="1:9">
      <c r="A241" s="32"/>
      <c r="B241" s="32"/>
      <c r="C241" s="34"/>
      <c r="D241" s="34"/>
      <c r="E241" s="34"/>
      <c r="F241" s="34"/>
      <c r="G241" s="43"/>
      <c r="H241" s="43"/>
      <c r="I241" s="43"/>
    </row>
    <row r="242" spans="1:9">
      <c r="A242" s="32"/>
      <c r="B242" s="32"/>
      <c r="C242" s="34"/>
      <c r="D242" s="34"/>
      <c r="E242" s="34"/>
      <c r="F242" s="34"/>
      <c r="G242" s="43"/>
      <c r="H242" s="43"/>
      <c r="I242" s="43"/>
    </row>
    <row r="243" spans="1:9">
      <c r="A243" s="32"/>
      <c r="B243" s="32"/>
      <c r="C243" s="34"/>
      <c r="D243" s="34"/>
      <c r="E243" s="34"/>
      <c r="F243" s="34"/>
      <c r="G243" s="43"/>
      <c r="H243" s="43"/>
      <c r="I243" s="43"/>
    </row>
    <row r="244" spans="1:9">
      <c r="A244" s="32"/>
      <c r="B244" s="32"/>
      <c r="C244" s="34"/>
      <c r="D244" s="34"/>
      <c r="E244" s="34"/>
      <c r="F244" s="34"/>
      <c r="G244" s="43"/>
      <c r="H244" s="43"/>
      <c r="I244" s="43"/>
    </row>
    <row r="245" spans="1:9">
      <c r="A245" s="32"/>
      <c r="B245" s="32"/>
      <c r="C245" s="34"/>
      <c r="D245" s="34"/>
      <c r="E245" s="34"/>
      <c r="F245" s="34"/>
      <c r="G245" s="43"/>
      <c r="H245" s="43"/>
      <c r="I245" s="43"/>
    </row>
    <row r="246" spans="1:9">
      <c r="A246" s="32"/>
      <c r="B246" s="32"/>
      <c r="C246" s="34"/>
      <c r="D246" s="34"/>
      <c r="E246" s="34"/>
      <c r="F246" s="34"/>
      <c r="G246" s="43"/>
      <c r="H246" s="43"/>
      <c r="I246" s="43"/>
    </row>
    <row r="247" spans="1:9">
      <c r="A247" s="32"/>
      <c r="B247" s="32"/>
      <c r="C247" s="34"/>
      <c r="D247" s="34"/>
      <c r="E247" s="34"/>
      <c r="F247" s="34"/>
      <c r="G247" s="43"/>
      <c r="H247" s="43"/>
      <c r="I247" s="43"/>
    </row>
    <row r="248" spans="1:9">
      <c r="A248" s="32"/>
      <c r="B248" s="32"/>
      <c r="C248" s="34"/>
      <c r="D248" s="34"/>
      <c r="E248" s="34"/>
      <c r="F248" s="34"/>
      <c r="G248" s="43"/>
      <c r="H248" s="43"/>
      <c r="I248" s="43"/>
    </row>
    <row r="249" spans="1:9">
      <c r="A249" s="32"/>
      <c r="B249" s="32"/>
      <c r="C249" s="34"/>
      <c r="D249" s="34"/>
      <c r="E249" s="34"/>
      <c r="F249" s="34"/>
      <c r="G249" s="43"/>
      <c r="H249" s="43"/>
      <c r="I249" s="43"/>
    </row>
    <row r="250" spans="1:9">
      <c r="A250" s="32"/>
      <c r="B250" s="32"/>
      <c r="C250" s="34"/>
      <c r="D250" s="34"/>
      <c r="E250" s="34"/>
      <c r="F250" s="34"/>
      <c r="G250" s="43"/>
      <c r="H250" s="43"/>
      <c r="I250" s="43"/>
    </row>
    <row r="251" spans="1:9">
      <c r="A251" s="32"/>
      <c r="B251" s="32"/>
      <c r="C251" s="34"/>
      <c r="D251" s="34"/>
      <c r="E251" s="34"/>
      <c r="F251" s="34"/>
      <c r="G251" s="43"/>
      <c r="H251" s="43"/>
      <c r="I251" s="43"/>
    </row>
    <row r="252" ht="20.1" customHeight="1" spans="1:9">
      <c r="A252" s="41"/>
      <c r="B252" s="41"/>
      <c r="C252" s="41"/>
      <c r="D252" s="42"/>
      <c r="E252" s="42"/>
      <c r="F252" s="41"/>
      <c r="G252" s="43"/>
      <c r="H252" s="43"/>
      <c r="I252" s="43"/>
    </row>
    <row r="253" spans="7:9">
      <c r="G253" s="43"/>
      <c r="H253" s="43"/>
      <c r="I253" s="43"/>
    </row>
    <row r="254" spans="7:9">
      <c r="G254" s="43"/>
      <c r="H254" s="43"/>
      <c r="I254" s="43"/>
    </row>
    <row r="255" spans="7:9">
      <c r="G255" s="43"/>
      <c r="H255" s="43"/>
      <c r="I255" s="43"/>
    </row>
    <row r="256" spans="7:9">
      <c r="G256" s="43"/>
      <c r="H256" s="43"/>
      <c r="I256" s="43"/>
    </row>
    <row r="257" spans="7:9">
      <c r="G257" s="43"/>
      <c r="H257" s="43"/>
      <c r="I257" s="43"/>
    </row>
    <row r="258" spans="7:9">
      <c r="G258" s="43"/>
      <c r="H258" s="43"/>
      <c r="I258" s="43"/>
    </row>
    <row r="259" spans="7:9">
      <c r="G259" s="43"/>
      <c r="H259" s="43"/>
      <c r="I259" s="43"/>
    </row>
    <row r="260" spans="7:9">
      <c r="G260" s="43"/>
      <c r="H260" s="43"/>
      <c r="I260" s="43"/>
    </row>
    <row r="261" spans="7:9">
      <c r="G261" s="43"/>
      <c r="H261" s="43"/>
      <c r="I261" s="43"/>
    </row>
    <row r="262" spans="7:9">
      <c r="G262" s="43"/>
      <c r="H262" s="43"/>
      <c r="I262" s="43"/>
    </row>
    <row r="263" spans="7:9">
      <c r="G263" s="43"/>
      <c r="H263" s="43"/>
      <c r="I263" s="43"/>
    </row>
    <row r="264" spans="7:9">
      <c r="G264" s="43"/>
      <c r="H264" s="43"/>
      <c r="I264" s="43"/>
    </row>
    <row r="265" spans="7:9">
      <c r="G265" s="43"/>
      <c r="H265" s="43"/>
      <c r="I265" s="43"/>
    </row>
    <row r="266" spans="7:9">
      <c r="G266" s="43"/>
      <c r="H266" s="43"/>
      <c r="I266" s="43"/>
    </row>
  </sheetData>
  <mergeCells count="8">
    <mergeCell ref="A1:F1"/>
    <mergeCell ref="D2:I2"/>
    <mergeCell ref="A66:I66"/>
    <mergeCell ref="A252:F252"/>
    <mergeCell ref="A2:A3"/>
    <mergeCell ref="B2:B3"/>
    <mergeCell ref="C2:C3"/>
    <mergeCell ref="J2:J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68"/>
  <sheetViews>
    <sheetView zoomScale="109" zoomScaleNormal="109" workbookViewId="0">
      <selection activeCell="C20" sqref="C20"/>
    </sheetView>
  </sheetViews>
  <sheetFormatPr defaultColWidth="9.25" defaultRowHeight="17.6" outlineLevelCol="6"/>
  <cols>
    <col min="1" max="1" width="21.25" style="10" customWidth="1"/>
    <col min="2" max="2" width="21.75" style="2" customWidth="1"/>
    <col min="3" max="3" width="78.5096153846154" style="21" customWidth="1"/>
    <col min="4" max="7" width="12.25" style="4"/>
    <col min="8" max="8" width="9.25" style="4"/>
    <col min="9" max="28" width="11.5" style="4"/>
    <col min="29" max="16384" width="9.25" style="4"/>
  </cols>
  <sheetData>
    <row r="1" ht="14" customHeight="1" spans="1:3">
      <c r="A1" s="18" t="s">
        <v>279</v>
      </c>
      <c r="B1" s="18"/>
      <c r="C1" s="22"/>
    </row>
    <row r="2" spans="1:7">
      <c r="A2" s="7" t="s">
        <v>1</v>
      </c>
      <c r="B2" s="7" t="s">
        <v>280</v>
      </c>
      <c r="C2" s="8" t="s">
        <v>281</v>
      </c>
      <c r="D2" s="2"/>
      <c r="E2" s="2"/>
      <c r="F2" s="2"/>
      <c r="G2" s="2"/>
    </row>
    <row r="3" spans="1:7">
      <c r="A3" s="10" t="s">
        <v>9</v>
      </c>
      <c r="B3" s="2" t="s">
        <v>282</v>
      </c>
      <c r="C3" s="11" t="s">
        <v>283</v>
      </c>
      <c r="D3" s="2"/>
      <c r="E3" s="2"/>
      <c r="F3" s="2"/>
      <c r="G3" s="2"/>
    </row>
    <row r="4" spans="1:7">
      <c r="A4" s="10" t="s">
        <v>9</v>
      </c>
      <c r="B4" s="2" t="s">
        <v>284</v>
      </c>
      <c r="C4" s="11" t="s">
        <v>285</v>
      </c>
      <c r="D4" s="2"/>
      <c r="E4" s="2"/>
      <c r="F4" s="2"/>
      <c r="G4" s="2"/>
    </row>
    <row r="5" spans="1:7">
      <c r="A5" s="10" t="s">
        <v>9</v>
      </c>
      <c r="B5" s="2" t="s">
        <v>286</v>
      </c>
      <c r="C5" s="11" t="s">
        <v>287</v>
      </c>
      <c r="D5" s="2"/>
      <c r="E5" s="2"/>
      <c r="F5" s="2"/>
      <c r="G5" s="2"/>
    </row>
    <row r="6" spans="1:7">
      <c r="A6" s="10" t="s">
        <v>9</v>
      </c>
      <c r="B6" s="2" t="s">
        <v>288</v>
      </c>
      <c r="C6" s="11" t="s">
        <v>289</v>
      </c>
      <c r="D6" s="2"/>
      <c r="E6" s="2"/>
      <c r="F6" s="2"/>
      <c r="G6" s="2"/>
    </row>
    <row r="7" spans="1:7">
      <c r="A7" s="10" t="s">
        <v>9</v>
      </c>
      <c r="B7" s="2" t="s">
        <v>290</v>
      </c>
      <c r="C7" s="11" t="s">
        <v>291</v>
      </c>
      <c r="D7" s="2"/>
      <c r="E7" s="2"/>
      <c r="F7" s="2"/>
      <c r="G7" s="2"/>
    </row>
    <row r="8" spans="1:7">
      <c r="A8" s="10" t="s">
        <v>9</v>
      </c>
      <c r="B8" s="2" t="s">
        <v>292</v>
      </c>
      <c r="C8" s="11" t="s">
        <v>293</v>
      </c>
      <c r="D8" s="2"/>
      <c r="E8" s="2"/>
      <c r="F8" s="2"/>
      <c r="G8" s="2"/>
    </row>
    <row r="9" spans="1:7">
      <c r="A9" s="10" t="s">
        <v>9</v>
      </c>
      <c r="B9" s="2" t="s">
        <v>294</v>
      </c>
      <c r="C9" s="11" t="s">
        <v>295</v>
      </c>
      <c r="D9" s="2"/>
      <c r="E9" s="2"/>
      <c r="F9" s="2"/>
      <c r="G9" s="2"/>
    </row>
    <row r="10" spans="1:7">
      <c r="A10" s="10" t="s">
        <v>9</v>
      </c>
      <c r="B10" s="2" t="s">
        <v>296</v>
      </c>
      <c r="C10" s="11" t="s">
        <v>297</v>
      </c>
      <c r="D10" s="2"/>
      <c r="E10" s="2"/>
      <c r="F10" s="2"/>
      <c r="G10" s="2"/>
    </row>
    <row r="11" spans="1:7">
      <c r="A11" s="10" t="s">
        <v>9</v>
      </c>
      <c r="B11" s="2" t="s">
        <v>298</v>
      </c>
      <c r="C11" s="11" t="s">
        <v>299</v>
      </c>
      <c r="D11" s="2"/>
      <c r="E11" s="2"/>
      <c r="F11" s="2"/>
      <c r="G11" s="2"/>
    </row>
    <row r="12" spans="1:7">
      <c r="A12" s="10" t="s">
        <v>9</v>
      </c>
      <c r="B12" s="2" t="s">
        <v>300</v>
      </c>
      <c r="C12" s="11" t="s">
        <v>301</v>
      </c>
      <c r="D12" s="2"/>
      <c r="E12" s="2"/>
      <c r="F12" s="2"/>
      <c r="G12" s="2"/>
    </row>
    <row r="13" spans="1:7">
      <c r="A13" s="10" t="s">
        <v>9</v>
      </c>
      <c r="B13" s="2" t="s">
        <v>302</v>
      </c>
      <c r="C13" s="11" t="s">
        <v>303</v>
      </c>
      <c r="D13" s="2"/>
      <c r="E13" s="2"/>
      <c r="F13" s="2"/>
      <c r="G13" s="2"/>
    </row>
    <row r="14" spans="1:7">
      <c r="A14" s="10" t="s">
        <v>9</v>
      </c>
      <c r="B14" s="2" t="s">
        <v>304</v>
      </c>
      <c r="C14" s="11" t="s">
        <v>305</v>
      </c>
      <c r="D14" s="2"/>
      <c r="E14" s="2"/>
      <c r="F14" s="2"/>
      <c r="G14" s="2"/>
    </row>
    <row r="15" spans="1:7">
      <c r="A15" s="10" t="s">
        <v>9</v>
      </c>
      <c r="B15" s="2" t="s">
        <v>306</v>
      </c>
      <c r="C15" s="11" t="s">
        <v>307</v>
      </c>
      <c r="D15" s="2"/>
      <c r="E15" s="2"/>
      <c r="F15" s="2"/>
      <c r="G15" s="2"/>
    </row>
    <row r="16" spans="1:7">
      <c r="A16" s="10" t="s">
        <v>9</v>
      </c>
      <c r="B16" s="2" t="s">
        <v>308</v>
      </c>
      <c r="C16" s="11" t="s">
        <v>309</v>
      </c>
      <c r="D16" s="2"/>
      <c r="E16" s="2"/>
      <c r="F16" s="2"/>
      <c r="G16" s="2"/>
    </row>
    <row r="17" spans="1:7">
      <c r="A17" s="10" t="s">
        <v>9</v>
      </c>
      <c r="B17" s="2" t="s">
        <v>310</v>
      </c>
      <c r="C17" s="11" t="s">
        <v>311</v>
      </c>
      <c r="D17" s="2"/>
      <c r="E17" s="2"/>
      <c r="F17" s="2"/>
      <c r="G17" s="2"/>
    </row>
    <row r="18" spans="1:7">
      <c r="A18" s="10" t="s">
        <v>9</v>
      </c>
      <c r="B18" s="2" t="s">
        <v>312</v>
      </c>
      <c r="C18" s="11" t="s">
        <v>313</v>
      </c>
      <c r="D18" s="2"/>
      <c r="E18" s="2"/>
      <c r="F18" s="2"/>
      <c r="G18" s="2"/>
    </row>
    <row r="19" spans="1:7">
      <c r="A19" s="10" t="s">
        <v>9</v>
      </c>
      <c r="B19" s="2" t="s">
        <v>314</v>
      </c>
      <c r="C19" s="11" t="s">
        <v>315</v>
      </c>
      <c r="D19" s="2"/>
      <c r="E19" s="2"/>
      <c r="F19" s="2"/>
      <c r="G19" s="2"/>
    </row>
    <row r="20" spans="1:7">
      <c r="A20" s="10" t="s">
        <v>9</v>
      </c>
      <c r="B20" s="2" t="s">
        <v>316</v>
      </c>
      <c r="C20" s="11" t="s">
        <v>317</v>
      </c>
      <c r="D20" s="2"/>
      <c r="E20" s="2"/>
      <c r="F20" s="2"/>
      <c r="G20" s="2"/>
    </row>
    <row r="21" spans="1:7">
      <c r="A21" s="10" t="s">
        <v>9</v>
      </c>
      <c r="B21" s="2" t="s">
        <v>318</v>
      </c>
      <c r="C21" s="11" t="s">
        <v>319</v>
      </c>
      <c r="D21" s="2"/>
      <c r="E21" s="2"/>
      <c r="F21" s="2"/>
      <c r="G21" s="2"/>
    </row>
    <row r="22" spans="1:7">
      <c r="A22" s="10" t="s">
        <v>9</v>
      </c>
      <c r="B22" s="2" t="s">
        <v>320</v>
      </c>
      <c r="C22" s="11" t="s">
        <v>321</v>
      </c>
      <c r="D22" s="2"/>
      <c r="E22" s="2"/>
      <c r="F22" s="2"/>
      <c r="G22" s="2"/>
    </row>
    <row r="23" spans="1:7">
      <c r="A23" s="10" t="s">
        <v>9</v>
      </c>
      <c r="B23" s="2" t="s">
        <v>322</v>
      </c>
      <c r="C23" s="11" t="s">
        <v>323</v>
      </c>
      <c r="D23" s="2"/>
      <c r="E23" s="2"/>
      <c r="F23" s="2"/>
      <c r="G23" s="2"/>
    </row>
    <row r="24" spans="1:7">
      <c r="A24" s="10" t="s">
        <v>9</v>
      </c>
      <c r="B24" s="2" t="s">
        <v>324</v>
      </c>
      <c r="C24" s="11" t="s">
        <v>325</v>
      </c>
      <c r="D24" s="2"/>
      <c r="E24" s="2"/>
      <c r="F24" s="2"/>
      <c r="G24" s="2"/>
    </row>
    <row r="25" spans="1:7">
      <c r="A25" s="10" t="s">
        <v>9</v>
      </c>
      <c r="B25" s="2" t="s">
        <v>326</v>
      </c>
      <c r="C25" s="11" t="s">
        <v>327</v>
      </c>
      <c r="D25" s="2"/>
      <c r="E25" s="2"/>
      <c r="F25" s="2"/>
      <c r="G25" s="2"/>
    </row>
    <row r="26" spans="1:7">
      <c r="A26" s="10" t="s">
        <v>9</v>
      </c>
      <c r="B26" s="2" t="s">
        <v>328</v>
      </c>
      <c r="C26" s="11" t="s">
        <v>329</v>
      </c>
      <c r="D26" s="2"/>
      <c r="E26" s="2"/>
      <c r="F26" s="2"/>
      <c r="G26" s="2"/>
    </row>
    <row r="27" spans="1:7">
      <c r="A27" s="10" t="s">
        <v>9</v>
      </c>
      <c r="B27" s="2" t="s">
        <v>330</v>
      </c>
      <c r="C27" s="11" t="s">
        <v>331</v>
      </c>
      <c r="D27" s="2"/>
      <c r="E27" s="2"/>
      <c r="F27" s="2"/>
      <c r="G27" s="2"/>
    </row>
    <row r="28" spans="1:7">
      <c r="A28" s="10" t="s">
        <v>9</v>
      </c>
      <c r="B28" s="2" t="s">
        <v>332</v>
      </c>
      <c r="C28" s="11" t="s">
        <v>333</v>
      </c>
      <c r="D28" s="2"/>
      <c r="E28" s="2"/>
      <c r="F28" s="2"/>
      <c r="G28" s="2"/>
    </row>
    <row r="29" spans="1:7">
      <c r="A29" s="10" t="s">
        <v>9</v>
      </c>
      <c r="B29" s="2" t="s">
        <v>334</v>
      </c>
      <c r="C29" s="11" t="s">
        <v>335</v>
      </c>
      <c r="D29" s="2"/>
      <c r="E29" s="2"/>
      <c r="F29" s="2"/>
      <c r="G29" s="2"/>
    </row>
    <row r="30" spans="1:7">
      <c r="A30" s="10" t="s">
        <v>9</v>
      </c>
      <c r="B30" s="2" t="s">
        <v>336</v>
      </c>
      <c r="C30" s="11" t="s">
        <v>337</v>
      </c>
      <c r="D30" s="2"/>
      <c r="E30" s="2"/>
      <c r="F30" s="2"/>
      <c r="G30" s="2"/>
    </row>
    <row r="31" spans="1:7">
      <c r="A31" s="10" t="s">
        <v>9</v>
      </c>
      <c r="B31" s="2" t="s">
        <v>338</v>
      </c>
      <c r="C31" s="11" t="s">
        <v>339</v>
      </c>
      <c r="D31" s="2"/>
      <c r="E31" s="2"/>
      <c r="F31" s="2"/>
      <c r="G31" s="2"/>
    </row>
    <row r="32" spans="1:7">
      <c r="A32" s="10" t="s">
        <v>9</v>
      </c>
      <c r="B32" s="2" t="s">
        <v>340</v>
      </c>
      <c r="C32" s="11" t="s">
        <v>341</v>
      </c>
      <c r="D32" s="2"/>
      <c r="E32" s="2"/>
      <c r="F32" s="2"/>
      <c r="G32" s="2"/>
    </row>
    <row r="33" spans="1:7">
      <c r="A33" s="10" t="s">
        <v>9</v>
      </c>
      <c r="B33" s="2" t="s">
        <v>342</v>
      </c>
      <c r="C33" s="11" t="s">
        <v>343</v>
      </c>
      <c r="D33" s="2"/>
      <c r="E33" s="2"/>
      <c r="F33" s="2"/>
      <c r="G33" s="2"/>
    </row>
    <row r="34" spans="1:7">
      <c r="A34" s="10" t="s">
        <v>9</v>
      </c>
      <c r="B34" s="2" t="s">
        <v>344</v>
      </c>
      <c r="C34" s="11" t="s">
        <v>345</v>
      </c>
      <c r="D34" s="2"/>
      <c r="E34" s="2"/>
      <c r="F34" s="2"/>
      <c r="G34" s="2"/>
    </row>
    <row r="35" spans="1:7">
      <c r="A35" s="10" t="s">
        <v>9</v>
      </c>
      <c r="B35" s="2" t="s">
        <v>346</v>
      </c>
      <c r="C35" s="11" t="s">
        <v>347</v>
      </c>
      <c r="D35" s="2"/>
      <c r="E35" s="2"/>
      <c r="F35" s="2"/>
      <c r="G35" s="2"/>
    </row>
    <row r="36" spans="1:7">
      <c r="A36" s="10" t="s">
        <v>9</v>
      </c>
      <c r="B36" s="2" t="s">
        <v>348</v>
      </c>
      <c r="C36" s="11" t="s">
        <v>349</v>
      </c>
      <c r="D36" s="2"/>
      <c r="E36" s="2"/>
      <c r="F36" s="2"/>
      <c r="G36" s="2"/>
    </row>
    <row r="37" spans="1:7">
      <c r="A37" s="10" t="s">
        <v>9</v>
      </c>
      <c r="B37" s="2" t="s">
        <v>350</v>
      </c>
      <c r="C37" s="11" t="s">
        <v>351</v>
      </c>
      <c r="D37" s="2"/>
      <c r="E37" s="2"/>
      <c r="F37" s="2"/>
      <c r="G37" s="2"/>
    </row>
    <row r="38" spans="1:7">
      <c r="A38" s="10" t="s">
        <v>9</v>
      </c>
      <c r="B38" s="2" t="s">
        <v>352</v>
      </c>
      <c r="C38" s="11" t="s">
        <v>353</v>
      </c>
      <c r="D38" s="2"/>
      <c r="E38" s="2"/>
      <c r="F38" s="2"/>
      <c r="G38" s="2"/>
    </row>
    <row r="39" spans="1:7">
      <c r="A39" s="10" t="s">
        <v>9</v>
      </c>
      <c r="B39" s="2" t="s">
        <v>354</v>
      </c>
      <c r="C39" s="11" t="s">
        <v>355</v>
      </c>
      <c r="D39" s="2"/>
      <c r="E39" s="2"/>
      <c r="F39" s="2"/>
      <c r="G39" s="2"/>
    </row>
    <row r="40" spans="1:7">
      <c r="A40" s="10" t="s">
        <v>9</v>
      </c>
      <c r="B40" s="2" t="s">
        <v>356</v>
      </c>
      <c r="C40" s="11" t="s">
        <v>357</v>
      </c>
      <c r="D40" s="2"/>
      <c r="E40" s="2"/>
      <c r="F40" s="2"/>
      <c r="G40" s="2"/>
    </row>
    <row r="41" spans="1:7">
      <c r="A41" s="10" t="s">
        <v>9</v>
      </c>
      <c r="B41" s="2" t="s">
        <v>358</v>
      </c>
      <c r="C41" s="11" t="s">
        <v>359</v>
      </c>
      <c r="D41" s="2"/>
      <c r="E41" s="2"/>
      <c r="F41" s="2"/>
      <c r="G41" s="2"/>
    </row>
    <row r="42" spans="1:7">
      <c r="A42" s="10" t="s">
        <v>9</v>
      </c>
      <c r="B42" s="2" t="s">
        <v>360</v>
      </c>
      <c r="C42" s="11" t="s">
        <v>361</v>
      </c>
      <c r="D42" s="2"/>
      <c r="E42" s="2"/>
      <c r="F42" s="2"/>
      <c r="G42" s="2"/>
    </row>
    <row r="43" spans="1:7">
      <c r="A43" s="10" t="s">
        <v>9</v>
      </c>
      <c r="B43" s="2" t="s">
        <v>362</v>
      </c>
      <c r="C43" s="11" t="s">
        <v>363</v>
      </c>
      <c r="D43" s="2"/>
      <c r="E43" s="2"/>
      <c r="F43" s="2"/>
      <c r="G43" s="2"/>
    </row>
    <row r="44" spans="1:7">
      <c r="A44" s="10" t="s">
        <v>9</v>
      </c>
      <c r="B44" s="2" t="s">
        <v>364</v>
      </c>
      <c r="C44" s="11" t="s">
        <v>365</v>
      </c>
      <c r="D44" s="2"/>
      <c r="E44" s="2"/>
      <c r="F44" s="2"/>
      <c r="G44" s="2"/>
    </row>
    <row r="45" spans="1:7">
      <c r="A45" s="10" t="s">
        <v>9</v>
      </c>
      <c r="B45" s="2" t="s">
        <v>366</v>
      </c>
      <c r="C45" s="11" t="s">
        <v>367</v>
      </c>
      <c r="D45" s="2"/>
      <c r="E45" s="2"/>
      <c r="F45" s="2"/>
      <c r="G45" s="2"/>
    </row>
    <row r="46" spans="1:7">
      <c r="A46" s="10" t="s">
        <v>9</v>
      </c>
      <c r="B46" s="2" t="s">
        <v>368</v>
      </c>
      <c r="C46" s="11" t="s">
        <v>369</v>
      </c>
      <c r="D46" s="2"/>
      <c r="E46" s="2"/>
      <c r="F46" s="2"/>
      <c r="G46" s="2"/>
    </row>
    <row r="47" spans="1:7">
      <c r="A47" s="10" t="s">
        <v>9</v>
      </c>
      <c r="B47" s="2" t="s">
        <v>370</v>
      </c>
      <c r="C47" s="11" t="s">
        <v>371</v>
      </c>
      <c r="D47" s="2"/>
      <c r="E47" s="2"/>
      <c r="F47" s="2"/>
      <c r="G47" s="2"/>
    </row>
    <row r="48" spans="1:7">
      <c r="A48" s="10" t="s">
        <v>9</v>
      </c>
      <c r="B48" s="2" t="s">
        <v>372</v>
      </c>
      <c r="C48" s="11" t="s">
        <v>373</v>
      </c>
      <c r="D48" s="2"/>
      <c r="E48" s="2"/>
      <c r="F48" s="2"/>
      <c r="G48" s="2"/>
    </row>
    <row r="49" spans="1:7">
      <c r="A49" s="10" t="s">
        <v>9</v>
      </c>
      <c r="B49" s="2" t="s">
        <v>374</v>
      </c>
      <c r="C49" s="11" t="s">
        <v>375</v>
      </c>
      <c r="D49" s="2"/>
      <c r="E49" s="2"/>
      <c r="F49" s="2"/>
      <c r="G49" s="2"/>
    </row>
    <row r="50" spans="1:7">
      <c r="A50" s="10" t="s">
        <v>9</v>
      </c>
      <c r="B50" s="2" t="s">
        <v>376</v>
      </c>
      <c r="C50" s="11" t="s">
        <v>377</v>
      </c>
      <c r="D50" s="2"/>
      <c r="E50" s="2"/>
      <c r="F50" s="2"/>
      <c r="G50" s="2"/>
    </row>
    <row r="51" spans="1:7">
      <c r="A51" s="10" t="s">
        <v>9</v>
      </c>
      <c r="B51" s="2" t="s">
        <v>378</v>
      </c>
      <c r="C51" s="11" t="s">
        <v>379</v>
      </c>
      <c r="D51" s="2"/>
      <c r="E51" s="2"/>
      <c r="F51" s="2"/>
      <c r="G51" s="2"/>
    </row>
    <row r="52" spans="1:7">
      <c r="A52" s="10" t="s">
        <v>9</v>
      </c>
      <c r="B52" s="2" t="s">
        <v>380</v>
      </c>
      <c r="C52" s="11" t="s">
        <v>381</v>
      </c>
      <c r="D52" s="2"/>
      <c r="E52" s="2"/>
      <c r="F52" s="2"/>
      <c r="G52" s="2"/>
    </row>
    <row r="53" spans="1:7">
      <c r="A53" s="10" t="s">
        <v>9</v>
      </c>
      <c r="B53" s="2" t="s">
        <v>382</v>
      </c>
      <c r="C53" s="11" t="s">
        <v>383</v>
      </c>
      <c r="D53" s="2"/>
      <c r="E53" s="2"/>
      <c r="F53" s="2"/>
      <c r="G53" s="2"/>
    </row>
    <row r="54" spans="1:7">
      <c r="A54" s="10" t="s">
        <v>9</v>
      </c>
      <c r="B54" s="2" t="s">
        <v>384</v>
      </c>
      <c r="C54" s="11" t="s">
        <v>385</v>
      </c>
      <c r="D54" s="2"/>
      <c r="E54" s="2"/>
      <c r="F54" s="2"/>
      <c r="G54" s="2"/>
    </row>
    <row r="55" spans="1:7">
      <c r="A55" s="10" t="s">
        <v>9</v>
      </c>
      <c r="B55" s="2" t="s">
        <v>386</v>
      </c>
      <c r="C55" s="11" t="s">
        <v>387</v>
      </c>
      <c r="D55" s="2"/>
      <c r="E55" s="2"/>
      <c r="F55" s="2"/>
      <c r="G55" s="2"/>
    </row>
    <row r="56" spans="1:7">
      <c r="A56" s="10" t="s">
        <v>9</v>
      </c>
      <c r="B56" s="2" t="s">
        <v>388</v>
      </c>
      <c r="C56" s="11" t="s">
        <v>389</v>
      </c>
      <c r="D56" s="2"/>
      <c r="E56" s="2"/>
      <c r="F56" s="2"/>
      <c r="G56" s="2"/>
    </row>
    <row r="57" spans="1:7">
      <c r="A57" s="10" t="s">
        <v>9</v>
      </c>
      <c r="B57" s="2" t="s">
        <v>390</v>
      </c>
      <c r="C57" s="11" t="s">
        <v>391</v>
      </c>
      <c r="D57" s="2"/>
      <c r="E57" s="2"/>
      <c r="F57" s="2"/>
      <c r="G57" s="2"/>
    </row>
    <row r="58" spans="1:7">
      <c r="A58" s="10" t="s">
        <v>9</v>
      </c>
      <c r="B58" s="2" t="s">
        <v>392</v>
      </c>
      <c r="C58" s="11" t="s">
        <v>393</v>
      </c>
      <c r="D58" s="2"/>
      <c r="E58" s="2"/>
      <c r="F58" s="2"/>
      <c r="G58" s="2"/>
    </row>
    <row r="59" spans="1:7">
      <c r="A59" s="10" t="s">
        <v>9</v>
      </c>
      <c r="B59" s="2" t="s">
        <v>394</v>
      </c>
      <c r="C59" s="11" t="s">
        <v>395</v>
      </c>
      <c r="D59" s="2"/>
      <c r="E59" s="2"/>
      <c r="F59" s="2"/>
      <c r="G59" s="2"/>
    </row>
    <row r="60" spans="1:7">
      <c r="A60" s="10" t="s">
        <v>9</v>
      </c>
      <c r="B60" s="2" t="s">
        <v>396</v>
      </c>
      <c r="C60" s="11" t="s">
        <v>397</v>
      </c>
      <c r="D60" s="2"/>
      <c r="E60" s="2"/>
      <c r="F60" s="2"/>
      <c r="G60" s="2"/>
    </row>
    <row r="61" spans="1:7">
      <c r="A61" s="10" t="s">
        <v>9</v>
      </c>
      <c r="B61" s="2" t="s">
        <v>398</v>
      </c>
      <c r="C61" s="11" t="s">
        <v>399</v>
      </c>
      <c r="D61" s="2"/>
      <c r="E61" s="2"/>
      <c r="F61" s="2"/>
      <c r="G61" s="2"/>
    </row>
    <row r="62" spans="1:7">
      <c r="A62" s="10" t="s">
        <v>9</v>
      </c>
      <c r="B62" s="2" t="s">
        <v>400</v>
      </c>
      <c r="C62" s="11" t="s">
        <v>401</v>
      </c>
      <c r="D62" s="2"/>
      <c r="E62" s="2"/>
      <c r="F62" s="2"/>
      <c r="G62" s="2"/>
    </row>
    <row r="63" spans="1:7">
      <c r="A63" s="10" t="s">
        <v>9</v>
      </c>
      <c r="B63" s="2" t="s">
        <v>402</v>
      </c>
      <c r="C63" s="11" t="s">
        <v>403</v>
      </c>
      <c r="D63" s="2"/>
      <c r="E63" s="2"/>
      <c r="F63" s="2"/>
      <c r="G63" s="2"/>
    </row>
    <row r="64" spans="1:7">
      <c r="A64" s="10" t="s">
        <v>9</v>
      </c>
      <c r="B64" s="2" t="s">
        <v>404</v>
      </c>
      <c r="C64" s="11" t="s">
        <v>405</v>
      </c>
      <c r="D64" s="2"/>
      <c r="E64" s="2"/>
      <c r="F64" s="2"/>
      <c r="G64" s="2"/>
    </row>
    <row r="65" spans="1:7">
      <c r="A65" s="10" t="s">
        <v>9</v>
      </c>
      <c r="B65" s="2" t="s">
        <v>406</v>
      </c>
      <c r="C65" s="11" t="s">
        <v>287</v>
      </c>
      <c r="D65" s="2"/>
      <c r="E65" s="2"/>
      <c r="F65" s="2"/>
      <c r="G65" s="2"/>
    </row>
    <row r="66" spans="1:7">
      <c r="A66" s="10" t="s">
        <v>9</v>
      </c>
      <c r="B66" s="2" t="s">
        <v>407</v>
      </c>
      <c r="C66" s="11" t="s">
        <v>408</v>
      </c>
      <c r="D66" s="2"/>
      <c r="E66" s="2"/>
      <c r="F66" s="2"/>
      <c r="G66" s="2"/>
    </row>
    <row r="67" spans="1:7">
      <c r="A67" s="10" t="s">
        <v>9</v>
      </c>
      <c r="B67" s="2" t="s">
        <v>409</v>
      </c>
      <c r="C67" s="11" t="s">
        <v>410</v>
      </c>
      <c r="D67" s="2"/>
      <c r="E67" s="2"/>
      <c r="F67" s="2"/>
      <c r="G67" s="2"/>
    </row>
    <row r="68" spans="1:7">
      <c r="A68" s="10" t="s">
        <v>9</v>
      </c>
      <c r="B68" s="2" t="s">
        <v>411</v>
      </c>
      <c r="C68" s="11" t="s">
        <v>412</v>
      </c>
      <c r="D68" s="2"/>
      <c r="E68" s="2"/>
      <c r="F68" s="2"/>
      <c r="G68" s="2"/>
    </row>
    <row r="69" spans="1:7">
      <c r="A69" s="10" t="s">
        <v>9</v>
      </c>
      <c r="B69" s="2" t="s">
        <v>413</v>
      </c>
      <c r="C69" s="11" t="s">
        <v>414</v>
      </c>
      <c r="D69" s="2"/>
      <c r="E69" s="2"/>
      <c r="F69" s="2"/>
      <c r="G69" s="2"/>
    </row>
    <row r="70" spans="1:7">
      <c r="A70" s="10" t="s">
        <v>9</v>
      </c>
      <c r="B70" s="2" t="s">
        <v>415</v>
      </c>
      <c r="C70" s="11" t="s">
        <v>416</v>
      </c>
      <c r="D70" s="2"/>
      <c r="E70" s="2"/>
      <c r="F70" s="2"/>
      <c r="G70" s="2"/>
    </row>
    <row r="71" spans="1:7">
      <c r="A71" s="10" t="s">
        <v>9</v>
      </c>
      <c r="B71" s="2" t="s">
        <v>417</v>
      </c>
      <c r="C71" s="11" t="s">
        <v>418</v>
      </c>
      <c r="D71" s="2"/>
      <c r="E71" s="2"/>
      <c r="F71" s="2"/>
      <c r="G71" s="2"/>
    </row>
    <row r="72" spans="1:7">
      <c r="A72" s="10" t="s">
        <v>9</v>
      </c>
      <c r="B72" s="2" t="s">
        <v>419</v>
      </c>
      <c r="C72" s="11" t="s">
        <v>420</v>
      </c>
      <c r="D72" s="2"/>
      <c r="E72" s="2"/>
      <c r="F72" s="2"/>
      <c r="G72" s="2"/>
    </row>
    <row r="73" spans="1:7">
      <c r="A73" s="10" t="s">
        <v>9</v>
      </c>
      <c r="B73" s="2" t="s">
        <v>421</v>
      </c>
      <c r="C73" s="11" t="s">
        <v>422</v>
      </c>
      <c r="D73" s="2"/>
      <c r="E73" s="2"/>
      <c r="F73" s="2"/>
      <c r="G73" s="2"/>
    </row>
    <row r="74" spans="1:7">
      <c r="A74" s="10" t="s">
        <v>9</v>
      </c>
      <c r="B74" s="2" t="s">
        <v>423</v>
      </c>
      <c r="C74" s="11" t="s">
        <v>424</v>
      </c>
      <c r="D74" s="2"/>
      <c r="E74" s="2"/>
      <c r="F74" s="2"/>
      <c r="G74" s="2"/>
    </row>
    <row r="75" spans="1:7">
      <c r="A75" s="10" t="s">
        <v>9</v>
      </c>
      <c r="B75" s="2" t="s">
        <v>425</v>
      </c>
      <c r="C75" s="11" t="s">
        <v>426</v>
      </c>
      <c r="D75" s="2"/>
      <c r="E75" s="2"/>
      <c r="F75" s="2"/>
      <c r="G75" s="2"/>
    </row>
    <row r="76" spans="1:7">
      <c r="A76" s="10" t="s">
        <v>9</v>
      </c>
      <c r="B76" s="2" t="s">
        <v>427</v>
      </c>
      <c r="C76" s="11" t="s">
        <v>428</v>
      </c>
      <c r="D76" s="2"/>
      <c r="E76" s="2"/>
      <c r="F76" s="2"/>
      <c r="G76" s="2"/>
    </row>
    <row r="77" spans="1:7">
      <c r="A77" s="10" t="s">
        <v>9</v>
      </c>
      <c r="B77" s="2" t="s">
        <v>429</v>
      </c>
      <c r="C77" s="11" t="s">
        <v>430</v>
      </c>
      <c r="D77" s="2"/>
      <c r="E77" s="2"/>
      <c r="F77" s="2"/>
      <c r="G77" s="2"/>
    </row>
    <row r="78" spans="1:7">
      <c r="A78" s="10" t="s">
        <v>9</v>
      </c>
      <c r="B78" s="2" t="s">
        <v>431</v>
      </c>
      <c r="C78" s="11" t="s">
        <v>432</v>
      </c>
      <c r="D78" s="2"/>
      <c r="E78" s="2"/>
      <c r="F78" s="2"/>
      <c r="G78" s="2"/>
    </row>
    <row r="79" spans="1:7">
      <c r="A79" s="10" t="s">
        <v>9</v>
      </c>
      <c r="B79" s="2" t="s">
        <v>433</v>
      </c>
      <c r="C79" s="11" t="s">
        <v>434</v>
      </c>
      <c r="D79" s="2"/>
      <c r="E79" s="2"/>
      <c r="F79" s="2"/>
      <c r="G79" s="2"/>
    </row>
    <row r="80" spans="1:7">
      <c r="A80" s="10" t="s">
        <v>9</v>
      </c>
      <c r="B80" s="2" t="s">
        <v>435</v>
      </c>
      <c r="C80" s="11" t="s">
        <v>436</v>
      </c>
      <c r="D80" s="2"/>
      <c r="E80" s="2"/>
      <c r="F80" s="2"/>
      <c r="G80" s="2"/>
    </row>
    <row r="81" spans="1:7">
      <c r="A81" s="10" t="s">
        <v>9</v>
      </c>
      <c r="B81" s="2" t="s">
        <v>437</v>
      </c>
      <c r="C81" s="11" t="s">
        <v>438</v>
      </c>
      <c r="D81" s="2"/>
      <c r="E81" s="2"/>
      <c r="F81" s="2"/>
      <c r="G81" s="2"/>
    </row>
    <row r="82" spans="1:7">
      <c r="A82" s="10" t="s">
        <v>9</v>
      </c>
      <c r="B82" s="2" t="s">
        <v>439</v>
      </c>
      <c r="C82" s="11" t="s">
        <v>440</v>
      </c>
      <c r="D82" s="2"/>
      <c r="E82" s="2"/>
      <c r="F82" s="2"/>
      <c r="G82" s="2"/>
    </row>
    <row r="83" spans="1:7">
      <c r="A83" s="10" t="s">
        <v>9</v>
      </c>
      <c r="B83" s="2" t="s">
        <v>441</v>
      </c>
      <c r="C83" s="11" t="s">
        <v>442</v>
      </c>
      <c r="D83" s="2"/>
      <c r="E83" s="2"/>
      <c r="F83" s="2"/>
      <c r="G83" s="2"/>
    </row>
    <row r="84" spans="1:7">
      <c r="A84" s="10" t="s">
        <v>9</v>
      </c>
      <c r="B84" s="2" t="s">
        <v>443</v>
      </c>
      <c r="C84" s="11" t="s">
        <v>444</v>
      </c>
      <c r="D84" s="2"/>
      <c r="E84" s="2"/>
      <c r="F84" s="2"/>
      <c r="G84" s="2"/>
    </row>
    <row r="85" spans="1:7">
      <c r="A85" s="10" t="s">
        <v>9</v>
      </c>
      <c r="B85" s="2" t="s">
        <v>445</v>
      </c>
      <c r="C85" s="11" t="s">
        <v>446</v>
      </c>
      <c r="D85" s="2"/>
      <c r="E85" s="2"/>
      <c r="F85" s="2"/>
      <c r="G85" s="2"/>
    </row>
    <row r="86" spans="1:7">
      <c r="A86" s="10" t="s">
        <v>9</v>
      </c>
      <c r="B86" s="2" t="s">
        <v>447</v>
      </c>
      <c r="C86" s="11" t="s">
        <v>448</v>
      </c>
      <c r="D86" s="2"/>
      <c r="E86" s="2"/>
      <c r="F86" s="2"/>
      <c r="G86" s="2"/>
    </row>
    <row r="87" spans="1:7">
      <c r="A87" s="10" t="s">
        <v>9</v>
      </c>
      <c r="B87" s="2" t="s">
        <v>449</v>
      </c>
      <c r="C87" s="11" t="s">
        <v>450</v>
      </c>
      <c r="D87" s="2"/>
      <c r="E87" s="2"/>
      <c r="F87" s="2"/>
      <c r="G87" s="2"/>
    </row>
    <row r="88" spans="1:7">
      <c r="A88" s="10" t="s">
        <v>9</v>
      </c>
      <c r="B88" s="2" t="s">
        <v>451</v>
      </c>
      <c r="C88" s="11" t="s">
        <v>452</v>
      </c>
      <c r="D88" s="2"/>
      <c r="E88" s="2"/>
      <c r="F88" s="2"/>
      <c r="G88" s="2"/>
    </row>
    <row r="89" spans="1:7">
      <c r="A89" s="10" t="s">
        <v>9</v>
      </c>
      <c r="B89" s="2" t="s">
        <v>453</v>
      </c>
      <c r="C89" s="11" t="s">
        <v>454</v>
      </c>
      <c r="D89" s="2"/>
      <c r="E89" s="2"/>
      <c r="F89" s="2"/>
      <c r="G89" s="2"/>
    </row>
    <row r="90" spans="1:7">
      <c r="A90" s="10" t="s">
        <v>9</v>
      </c>
      <c r="B90" s="2" t="s">
        <v>455</v>
      </c>
      <c r="C90" s="11" t="s">
        <v>456</v>
      </c>
      <c r="D90" s="2"/>
      <c r="E90" s="2"/>
      <c r="F90" s="2"/>
      <c r="G90" s="2"/>
    </row>
    <row r="91" spans="1:7">
      <c r="A91" s="10" t="s">
        <v>9</v>
      </c>
      <c r="B91" s="2" t="s">
        <v>457</v>
      </c>
      <c r="C91" s="11" t="s">
        <v>458</v>
      </c>
      <c r="D91" s="2"/>
      <c r="E91" s="2"/>
      <c r="F91" s="2"/>
      <c r="G91" s="2"/>
    </row>
    <row r="92" spans="1:7">
      <c r="A92" s="10" t="s">
        <v>9</v>
      </c>
      <c r="B92" s="2" t="s">
        <v>459</v>
      </c>
      <c r="C92" s="11" t="s">
        <v>460</v>
      </c>
      <c r="D92" s="2"/>
      <c r="E92" s="2"/>
      <c r="F92" s="2"/>
      <c r="G92" s="2"/>
    </row>
    <row r="93" spans="1:7">
      <c r="A93" s="10" t="s">
        <v>9</v>
      </c>
      <c r="B93" s="2" t="s">
        <v>461</v>
      </c>
      <c r="C93" s="11" t="s">
        <v>287</v>
      </c>
      <c r="D93" s="2"/>
      <c r="E93" s="2"/>
      <c r="F93" s="2"/>
      <c r="G93" s="2"/>
    </row>
    <row r="94" spans="1:7">
      <c r="A94" s="10" t="s">
        <v>9</v>
      </c>
      <c r="B94" s="2" t="s">
        <v>462</v>
      </c>
      <c r="C94" s="11" t="s">
        <v>463</v>
      </c>
      <c r="D94" s="2"/>
      <c r="E94" s="2"/>
      <c r="F94" s="2"/>
      <c r="G94" s="2"/>
    </row>
    <row r="95" spans="1:7">
      <c r="A95" s="10" t="s">
        <v>9</v>
      </c>
      <c r="B95" s="2" t="s">
        <v>464</v>
      </c>
      <c r="C95" s="11" t="s">
        <v>465</v>
      </c>
      <c r="D95" s="2"/>
      <c r="E95" s="2"/>
      <c r="F95" s="2"/>
      <c r="G95" s="2"/>
    </row>
    <row r="96" spans="1:7">
      <c r="A96" s="10" t="s">
        <v>9</v>
      </c>
      <c r="B96" s="2" t="s">
        <v>466</v>
      </c>
      <c r="C96" s="11" t="s">
        <v>467</v>
      </c>
      <c r="D96" s="2"/>
      <c r="E96" s="2"/>
      <c r="F96" s="2"/>
      <c r="G96" s="2"/>
    </row>
    <row r="97" spans="1:7">
      <c r="A97" s="10" t="s">
        <v>9</v>
      </c>
      <c r="B97" s="2" t="s">
        <v>468</v>
      </c>
      <c r="C97" s="11" t="s">
        <v>469</v>
      </c>
      <c r="D97" s="2"/>
      <c r="E97" s="2"/>
      <c r="F97" s="2"/>
      <c r="G97" s="2"/>
    </row>
    <row r="98" spans="1:7">
      <c r="A98" s="10" t="s">
        <v>9</v>
      </c>
      <c r="B98" s="2" t="s">
        <v>470</v>
      </c>
      <c r="C98" s="11" t="s">
        <v>471</v>
      </c>
      <c r="D98" s="2"/>
      <c r="E98" s="2"/>
      <c r="F98" s="2"/>
      <c r="G98" s="2"/>
    </row>
    <row r="99" spans="1:7">
      <c r="A99" s="10" t="s">
        <v>9</v>
      </c>
      <c r="B99" s="2" t="s">
        <v>472</v>
      </c>
      <c r="C99" s="11" t="s">
        <v>473</v>
      </c>
      <c r="D99" s="2"/>
      <c r="E99" s="2"/>
      <c r="F99" s="2"/>
      <c r="G99" s="2"/>
    </row>
    <row r="100" spans="1:7">
      <c r="A100" s="10" t="s">
        <v>9</v>
      </c>
      <c r="B100" s="2" t="s">
        <v>474</v>
      </c>
      <c r="C100" s="11" t="s">
        <v>475</v>
      </c>
      <c r="D100" s="2"/>
      <c r="E100" s="2"/>
      <c r="F100" s="2"/>
      <c r="G100" s="2"/>
    </row>
    <row r="101" spans="1:7">
      <c r="A101" s="10" t="s">
        <v>9</v>
      </c>
      <c r="B101" s="2" t="s">
        <v>476</v>
      </c>
      <c r="C101" s="11" t="s">
        <v>477</v>
      </c>
      <c r="D101" s="2"/>
      <c r="E101" s="2"/>
      <c r="F101" s="2"/>
      <c r="G101" s="2"/>
    </row>
    <row r="102" spans="1:7">
      <c r="A102" s="10" t="s">
        <v>9</v>
      </c>
      <c r="B102" s="2" t="s">
        <v>478</v>
      </c>
      <c r="C102" s="11" t="s">
        <v>479</v>
      </c>
      <c r="D102" s="2"/>
      <c r="E102" s="2"/>
      <c r="F102" s="2"/>
      <c r="G102" s="2"/>
    </row>
    <row r="103" spans="1:7">
      <c r="A103" s="10" t="s">
        <v>9</v>
      </c>
      <c r="B103" s="2" t="s">
        <v>480</v>
      </c>
      <c r="C103" s="11" t="s">
        <v>481</v>
      </c>
      <c r="D103" s="2"/>
      <c r="E103" s="2"/>
      <c r="F103" s="2"/>
      <c r="G103" s="2"/>
    </row>
    <row r="104" spans="1:7">
      <c r="A104" s="10" t="s">
        <v>9</v>
      </c>
      <c r="B104" s="2" t="s">
        <v>482</v>
      </c>
      <c r="C104" s="11" t="s">
        <v>483</v>
      </c>
      <c r="D104" s="2"/>
      <c r="E104" s="2"/>
      <c r="F104" s="2"/>
      <c r="G104" s="2"/>
    </row>
    <row r="105" spans="1:7">
      <c r="A105" s="10" t="s">
        <v>9</v>
      </c>
      <c r="B105" s="2" t="s">
        <v>484</v>
      </c>
      <c r="C105" s="11" t="s">
        <v>485</v>
      </c>
      <c r="D105" s="2"/>
      <c r="E105" s="2"/>
      <c r="F105" s="2"/>
      <c r="G105" s="2"/>
    </row>
    <row r="106" spans="1:7">
      <c r="A106" s="10" t="s">
        <v>9</v>
      </c>
      <c r="B106" s="2" t="s">
        <v>486</v>
      </c>
      <c r="C106" s="11" t="s">
        <v>487</v>
      </c>
      <c r="D106" s="2"/>
      <c r="E106" s="2"/>
      <c r="F106" s="2"/>
      <c r="G106" s="2"/>
    </row>
    <row r="107" spans="1:7">
      <c r="A107" s="10" t="s">
        <v>9</v>
      </c>
      <c r="B107" s="2" t="s">
        <v>488</v>
      </c>
      <c r="C107" s="11" t="s">
        <v>489</v>
      </c>
      <c r="D107" s="2"/>
      <c r="E107" s="2"/>
      <c r="F107" s="2"/>
      <c r="G107" s="2"/>
    </row>
    <row r="108" spans="1:7">
      <c r="A108" s="10" t="s">
        <v>9</v>
      </c>
      <c r="B108" s="2" t="s">
        <v>490</v>
      </c>
      <c r="C108" s="11" t="s">
        <v>491</v>
      </c>
      <c r="D108" s="2"/>
      <c r="E108" s="2"/>
      <c r="F108" s="2"/>
      <c r="G108" s="2"/>
    </row>
    <row r="109" spans="1:7">
      <c r="A109" s="10" t="s">
        <v>9</v>
      </c>
      <c r="B109" s="2" t="s">
        <v>492</v>
      </c>
      <c r="C109" s="11" t="s">
        <v>493</v>
      </c>
      <c r="D109" s="2"/>
      <c r="E109" s="2"/>
      <c r="F109" s="2"/>
      <c r="G109" s="2"/>
    </row>
    <row r="110" spans="1:7">
      <c r="A110" s="10" t="s">
        <v>9</v>
      </c>
      <c r="B110" s="2" t="s">
        <v>494</v>
      </c>
      <c r="C110" s="11" t="s">
        <v>495</v>
      </c>
      <c r="D110" s="2"/>
      <c r="E110" s="2"/>
      <c r="F110" s="2"/>
      <c r="G110" s="2"/>
    </row>
    <row r="111" spans="1:7">
      <c r="A111" s="10" t="s">
        <v>9</v>
      </c>
      <c r="B111" s="2" t="s">
        <v>496</v>
      </c>
      <c r="C111" s="11" t="s">
        <v>497</v>
      </c>
      <c r="D111" s="2"/>
      <c r="E111" s="2"/>
      <c r="F111" s="2"/>
      <c r="G111" s="2"/>
    </row>
    <row r="112" spans="1:7">
      <c r="A112" s="10" t="s">
        <v>9</v>
      </c>
      <c r="B112" s="2" t="s">
        <v>498</v>
      </c>
      <c r="C112" s="11" t="s">
        <v>499</v>
      </c>
      <c r="D112" s="2"/>
      <c r="E112" s="2"/>
      <c r="F112" s="2"/>
      <c r="G112" s="2"/>
    </row>
    <row r="113" spans="1:7">
      <c r="A113" s="10" t="s">
        <v>9</v>
      </c>
      <c r="B113" s="2" t="s">
        <v>500</v>
      </c>
      <c r="C113" s="11" t="s">
        <v>501</v>
      </c>
      <c r="D113" s="2"/>
      <c r="E113" s="2"/>
      <c r="F113" s="2"/>
      <c r="G113" s="2"/>
    </row>
    <row r="114" spans="1:7">
      <c r="A114" s="10" t="s">
        <v>9</v>
      </c>
      <c r="B114" s="2" t="s">
        <v>502</v>
      </c>
      <c r="C114" s="11" t="s">
        <v>503</v>
      </c>
      <c r="D114" s="2"/>
      <c r="E114" s="2"/>
      <c r="F114" s="2"/>
      <c r="G114" s="2"/>
    </row>
    <row r="115" spans="1:7">
      <c r="A115" s="10" t="s">
        <v>9</v>
      </c>
      <c r="B115" s="2" t="s">
        <v>504</v>
      </c>
      <c r="C115" s="11" t="s">
        <v>505</v>
      </c>
      <c r="D115" s="2"/>
      <c r="E115" s="2"/>
      <c r="F115" s="2"/>
      <c r="G115" s="2"/>
    </row>
    <row r="116" spans="1:7">
      <c r="A116" s="10" t="s">
        <v>9</v>
      </c>
      <c r="B116" s="2" t="s">
        <v>506</v>
      </c>
      <c r="C116" s="11" t="s">
        <v>507</v>
      </c>
      <c r="D116" s="2"/>
      <c r="E116" s="2"/>
      <c r="F116" s="2"/>
      <c r="G116" s="2"/>
    </row>
    <row r="117" spans="1:7">
      <c r="A117" s="10" t="s">
        <v>9</v>
      </c>
      <c r="B117" s="2" t="s">
        <v>508</v>
      </c>
      <c r="C117" s="11" t="s">
        <v>509</v>
      </c>
      <c r="D117" s="2"/>
      <c r="E117" s="2"/>
      <c r="F117" s="2"/>
      <c r="G117" s="2"/>
    </row>
    <row r="118" spans="1:7">
      <c r="A118" s="10" t="s">
        <v>9</v>
      </c>
      <c r="B118" s="2" t="s">
        <v>510</v>
      </c>
      <c r="C118" s="11" t="s">
        <v>511</v>
      </c>
      <c r="D118" s="2"/>
      <c r="E118" s="2"/>
      <c r="F118" s="2"/>
      <c r="G118" s="2"/>
    </row>
    <row r="119" spans="1:7">
      <c r="A119" s="10" t="s">
        <v>9</v>
      </c>
      <c r="B119" s="2" t="s">
        <v>512</v>
      </c>
      <c r="C119" s="11" t="s">
        <v>513</v>
      </c>
      <c r="D119" s="2"/>
      <c r="E119" s="2"/>
      <c r="F119" s="2"/>
      <c r="G119" s="2"/>
    </row>
    <row r="120" spans="1:7">
      <c r="A120" s="10" t="s">
        <v>9</v>
      </c>
      <c r="B120" s="2" t="s">
        <v>514</v>
      </c>
      <c r="C120" s="11" t="s">
        <v>515</v>
      </c>
      <c r="D120" s="2"/>
      <c r="E120" s="2"/>
      <c r="F120" s="2"/>
      <c r="G120" s="2"/>
    </row>
    <row r="121" spans="1:7">
      <c r="A121" s="10" t="s">
        <v>9</v>
      </c>
      <c r="B121" s="2" t="s">
        <v>516</v>
      </c>
      <c r="C121" s="11" t="s">
        <v>517</v>
      </c>
      <c r="D121" s="2"/>
      <c r="E121" s="2"/>
      <c r="F121" s="2"/>
      <c r="G121" s="2"/>
    </row>
    <row r="122" spans="1:7">
      <c r="A122" s="10" t="s">
        <v>9</v>
      </c>
      <c r="B122" s="2" t="s">
        <v>518</v>
      </c>
      <c r="C122" s="11" t="s">
        <v>519</v>
      </c>
      <c r="D122" s="2"/>
      <c r="E122" s="2"/>
      <c r="F122" s="2"/>
      <c r="G122" s="2"/>
    </row>
    <row r="123" spans="1:7">
      <c r="A123" s="10" t="s">
        <v>9</v>
      </c>
      <c r="B123" s="2" t="s">
        <v>520</v>
      </c>
      <c r="C123" s="11" t="s">
        <v>521</v>
      </c>
      <c r="D123" s="2"/>
      <c r="E123" s="2"/>
      <c r="F123" s="2"/>
      <c r="G123" s="2"/>
    </row>
    <row r="124" spans="1:7">
      <c r="A124" s="10" t="s">
        <v>9</v>
      </c>
      <c r="B124" s="2" t="s">
        <v>522</v>
      </c>
      <c r="C124" s="11" t="s">
        <v>523</v>
      </c>
      <c r="D124" s="2"/>
      <c r="E124" s="2"/>
      <c r="F124" s="2"/>
      <c r="G124" s="2"/>
    </row>
    <row r="125" spans="1:7">
      <c r="A125" s="10" t="s">
        <v>9</v>
      </c>
      <c r="B125" s="2" t="s">
        <v>524</v>
      </c>
      <c r="C125" s="11" t="s">
        <v>287</v>
      </c>
      <c r="D125" s="2"/>
      <c r="E125" s="2"/>
      <c r="F125" s="2"/>
      <c r="G125" s="2"/>
    </row>
    <row r="126" spans="1:7">
      <c r="A126" s="10" t="s">
        <v>9</v>
      </c>
      <c r="B126" s="2" t="s">
        <v>525</v>
      </c>
      <c r="C126" s="11" t="s">
        <v>526</v>
      </c>
      <c r="D126" s="2"/>
      <c r="E126" s="2"/>
      <c r="F126" s="2"/>
      <c r="G126" s="2"/>
    </row>
    <row r="127" spans="1:7">
      <c r="A127" s="10" t="s">
        <v>9</v>
      </c>
      <c r="B127" s="2" t="s">
        <v>527</v>
      </c>
      <c r="C127" s="11" t="s">
        <v>528</v>
      </c>
      <c r="D127" s="2"/>
      <c r="E127" s="2"/>
      <c r="F127" s="2"/>
      <c r="G127" s="2"/>
    </row>
    <row r="128" spans="1:7">
      <c r="A128" s="10" t="s">
        <v>9</v>
      </c>
      <c r="B128" s="2" t="s">
        <v>529</v>
      </c>
      <c r="C128" s="11" t="s">
        <v>530</v>
      </c>
      <c r="D128" s="2"/>
      <c r="E128" s="2"/>
      <c r="F128" s="2"/>
      <c r="G128" s="2"/>
    </row>
    <row r="129" spans="1:7">
      <c r="A129" s="10" t="s">
        <v>9</v>
      </c>
      <c r="B129" s="2" t="s">
        <v>531</v>
      </c>
      <c r="C129" s="11" t="s">
        <v>532</v>
      </c>
      <c r="D129" s="2"/>
      <c r="E129" s="2"/>
      <c r="F129" s="2"/>
      <c r="G129" s="2"/>
    </row>
    <row r="130" spans="1:7">
      <c r="A130" s="10" t="s">
        <v>9</v>
      </c>
      <c r="B130" s="2" t="s">
        <v>533</v>
      </c>
      <c r="C130" s="11" t="s">
        <v>534</v>
      </c>
      <c r="D130" s="2"/>
      <c r="E130" s="2"/>
      <c r="F130" s="2"/>
      <c r="G130" s="2"/>
    </row>
    <row r="131" spans="1:7">
      <c r="A131" s="10" t="s">
        <v>9</v>
      </c>
      <c r="B131" s="2" t="s">
        <v>535</v>
      </c>
      <c r="C131" s="11" t="s">
        <v>536</v>
      </c>
      <c r="D131" s="2"/>
      <c r="E131" s="2"/>
      <c r="F131" s="2"/>
      <c r="G131" s="2"/>
    </row>
    <row r="132" spans="1:7">
      <c r="A132" s="10" t="s">
        <v>9</v>
      </c>
      <c r="B132" s="2" t="s">
        <v>537</v>
      </c>
      <c r="C132" s="11" t="s">
        <v>395</v>
      </c>
      <c r="D132" s="2"/>
      <c r="E132" s="2"/>
      <c r="F132" s="2"/>
      <c r="G132" s="2"/>
    </row>
    <row r="133" spans="1:7">
      <c r="A133" s="10" t="s">
        <v>9</v>
      </c>
      <c r="B133" s="2" t="s">
        <v>538</v>
      </c>
      <c r="C133" s="11" t="s">
        <v>539</v>
      </c>
      <c r="D133" s="2"/>
      <c r="E133" s="2"/>
      <c r="F133" s="2"/>
      <c r="G133" s="2"/>
    </row>
    <row r="134" spans="1:7">
      <c r="A134" s="10" t="s">
        <v>9</v>
      </c>
      <c r="B134" s="2" t="s">
        <v>540</v>
      </c>
      <c r="C134" s="11" t="s">
        <v>541</v>
      </c>
      <c r="D134" s="2"/>
      <c r="E134" s="2"/>
      <c r="F134" s="2"/>
      <c r="G134" s="2"/>
    </row>
    <row r="135" spans="1:7">
      <c r="A135" s="10" t="s">
        <v>9</v>
      </c>
      <c r="B135" s="2" t="s">
        <v>542</v>
      </c>
      <c r="C135" s="11" t="s">
        <v>543</v>
      </c>
      <c r="D135" s="2"/>
      <c r="E135" s="2"/>
      <c r="F135" s="2"/>
      <c r="G135" s="2"/>
    </row>
    <row r="136" spans="1:7">
      <c r="A136" s="10" t="s">
        <v>9</v>
      </c>
      <c r="B136" s="2" t="s">
        <v>544</v>
      </c>
      <c r="C136" s="11" t="s">
        <v>545</v>
      </c>
      <c r="D136" s="2"/>
      <c r="E136" s="2"/>
      <c r="F136" s="2"/>
      <c r="G136" s="2"/>
    </row>
    <row r="137" spans="1:7">
      <c r="A137" s="10" t="s">
        <v>9</v>
      </c>
      <c r="B137" s="2" t="s">
        <v>546</v>
      </c>
      <c r="C137" s="11" t="s">
        <v>547</v>
      </c>
      <c r="D137" s="2"/>
      <c r="E137" s="2"/>
      <c r="F137" s="2"/>
      <c r="G137" s="2"/>
    </row>
    <row r="138" spans="1:7">
      <c r="A138" s="10" t="s">
        <v>9</v>
      </c>
      <c r="B138" s="2" t="s">
        <v>548</v>
      </c>
      <c r="C138" s="11" t="s">
        <v>549</v>
      </c>
      <c r="D138" s="2"/>
      <c r="E138" s="2"/>
      <c r="F138" s="2"/>
      <c r="G138" s="2"/>
    </row>
    <row r="139" spans="1:7">
      <c r="A139" s="10" t="s">
        <v>9</v>
      </c>
      <c r="B139" s="2" t="s">
        <v>550</v>
      </c>
      <c r="C139" s="11" t="s">
        <v>551</v>
      </c>
      <c r="D139" s="2"/>
      <c r="E139" s="2"/>
      <c r="F139" s="2"/>
      <c r="G139" s="2"/>
    </row>
    <row r="140" spans="1:7">
      <c r="A140" s="10" t="s">
        <v>9</v>
      </c>
      <c r="B140" s="2" t="s">
        <v>552</v>
      </c>
      <c r="C140" s="11" t="s">
        <v>553</v>
      </c>
      <c r="D140" s="2"/>
      <c r="E140" s="2"/>
      <c r="F140" s="2"/>
      <c r="G140" s="2"/>
    </row>
    <row r="141" spans="1:7">
      <c r="A141" s="10" t="s">
        <v>9</v>
      </c>
      <c r="B141" s="2" t="s">
        <v>554</v>
      </c>
      <c r="C141" s="11" t="s">
        <v>555</v>
      </c>
      <c r="D141" s="2"/>
      <c r="E141" s="2"/>
      <c r="F141" s="2"/>
      <c r="G141" s="2"/>
    </row>
    <row r="142" spans="1:7">
      <c r="A142" s="10" t="s">
        <v>9</v>
      </c>
      <c r="B142" s="2" t="s">
        <v>556</v>
      </c>
      <c r="C142" s="11" t="s">
        <v>557</v>
      </c>
      <c r="D142" s="2"/>
      <c r="E142" s="2"/>
      <c r="F142" s="2"/>
      <c r="G142" s="2"/>
    </row>
    <row r="143" spans="1:7">
      <c r="A143" s="10" t="s">
        <v>9</v>
      </c>
      <c r="B143" s="2" t="s">
        <v>558</v>
      </c>
      <c r="C143" s="11" t="s">
        <v>559</v>
      </c>
      <c r="D143" s="2"/>
      <c r="E143" s="2"/>
      <c r="F143" s="2"/>
      <c r="G143" s="2"/>
    </row>
    <row r="144" spans="1:7">
      <c r="A144" s="10" t="s">
        <v>9</v>
      </c>
      <c r="B144" s="2" t="s">
        <v>560</v>
      </c>
      <c r="C144" s="11" t="s">
        <v>561</v>
      </c>
      <c r="D144" s="2"/>
      <c r="E144" s="2"/>
      <c r="F144" s="2"/>
      <c r="G144" s="2"/>
    </row>
    <row r="145" spans="1:7">
      <c r="A145" s="10" t="s">
        <v>9</v>
      </c>
      <c r="B145" s="2" t="s">
        <v>562</v>
      </c>
      <c r="C145" s="11" t="s">
        <v>563</v>
      </c>
      <c r="D145" s="2"/>
      <c r="E145" s="2"/>
      <c r="F145" s="2"/>
      <c r="G145" s="2"/>
    </row>
    <row r="146" spans="1:7">
      <c r="A146" s="10" t="s">
        <v>9</v>
      </c>
      <c r="B146" s="2" t="s">
        <v>564</v>
      </c>
      <c r="C146" s="11" t="s">
        <v>565</v>
      </c>
      <c r="D146" s="2"/>
      <c r="E146" s="2"/>
      <c r="F146" s="2"/>
      <c r="G146" s="2"/>
    </row>
    <row r="147" spans="1:7">
      <c r="A147" s="10" t="s">
        <v>9</v>
      </c>
      <c r="B147" s="2" t="s">
        <v>566</v>
      </c>
      <c r="C147" s="11" t="s">
        <v>567</v>
      </c>
      <c r="D147" s="2"/>
      <c r="E147" s="2"/>
      <c r="F147" s="2"/>
      <c r="G147" s="2"/>
    </row>
    <row r="148" spans="1:7">
      <c r="A148" s="10" t="s">
        <v>9</v>
      </c>
      <c r="B148" s="2" t="s">
        <v>568</v>
      </c>
      <c r="C148" s="11" t="s">
        <v>569</v>
      </c>
      <c r="D148" s="2"/>
      <c r="E148" s="2"/>
      <c r="F148" s="2"/>
      <c r="G148" s="2"/>
    </row>
    <row r="149" spans="1:7">
      <c r="A149" s="10" t="s">
        <v>9</v>
      </c>
      <c r="B149" s="2" t="s">
        <v>570</v>
      </c>
      <c r="C149" s="11" t="s">
        <v>571</v>
      </c>
      <c r="D149" s="2"/>
      <c r="E149" s="2"/>
      <c r="F149" s="2"/>
      <c r="G149" s="2"/>
    </row>
    <row r="150" spans="1:7">
      <c r="A150" s="10" t="s">
        <v>9</v>
      </c>
      <c r="B150" s="2" t="s">
        <v>572</v>
      </c>
      <c r="C150" s="11" t="s">
        <v>573</v>
      </c>
      <c r="D150" s="2"/>
      <c r="E150" s="2"/>
      <c r="F150" s="2"/>
      <c r="G150" s="2"/>
    </row>
    <row r="151" spans="1:7">
      <c r="A151" s="10" t="s">
        <v>9</v>
      </c>
      <c r="B151" s="2" t="s">
        <v>574</v>
      </c>
      <c r="C151" s="11" t="s">
        <v>575</v>
      </c>
      <c r="D151" s="2"/>
      <c r="E151" s="2"/>
      <c r="F151" s="2"/>
      <c r="G151" s="2"/>
    </row>
    <row r="152" spans="1:7">
      <c r="A152" s="10" t="s">
        <v>9</v>
      </c>
      <c r="B152" s="2" t="s">
        <v>576</v>
      </c>
      <c r="C152" s="11" t="s">
        <v>577</v>
      </c>
      <c r="D152" s="2"/>
      <c r="E152" s="2"/>
      <c r="F152" s="2"/>
      <c r="G152" s="2"/>
    </row>
    <row r="153" spans="1:7">
      <c r="A153" s="10" t="s">
        <v>9</v>
      </c>
      <c r="B153" s="2" t="s">
        <v>578</v>
      </c>
      <c r="C153" s="11" t="s">
        <v>579</v>
      </c>
      <c r="D153" s="2"/>
      <c r="E153" s="2"/>
      <c r="F153" s="2"/>
      <c r="G153" s="2"/>
    </row>
    <row r="154" spans="1:7">
      <c r="A154" s="10" t="s">
        <v>9</v>
      </c>
      <c r="B154" s="2" t="s">
        <v>580</v>
      </c>
      <c r="C154" s="11" t="s">
        <v>465</v>
      </c>
      <c r="D154" s="2"/>
      <c r="E154" s="2"/>
      <c r="F154" s="2"/>
      <c r="G154" s="2"/>
    </row>
    <row r="155" spans="1:7">
      <c r="A155" s="10" t="s">
        <v>9</v>
      </c>
      <c r="B155" s="2" t="s">
        <v>581</v>
      </c>
      <c r="C155" s="11" t="s">
        <v>582</v>
      </c>
      <c r="D155" s="2"/>
      <c r="E155" s="2"/>
      <c r="F155" s="2"/>
      <c r="G155" s="2"/>
    </row>
    <row r="156" spans="1:7">
      <c r="A156" s="10" t="s">
        <v>9</v>
      </c>
      <c r="B156" s="2" t="s">
        <v>583</v>
      </c>
      <c r="C156" s="11" t="s">
        <v>584</v>
      </c>
      <c r="D156" s="2"/>
      <c r="E156" s="2"/>
      <c r="F156" s="2"/>
      <c r="G156" s="2"/>
    </row>
    <row r="157" spans="1:7">
      <c r="A157" s="10" t="s">
        <v>9</v>
      </c>
      <c r="B157" s="2" t="s">
        <v>585</v>
      </c>
      <c r="C157" s="11" t="s">
        <v>586</v>
      </c>
      <c r="D157" s="2"/>
      <c r="E157" s="2"/>
      <c r="F157" s="2"/>
      <c r="G157" s="2"/>
    </row>
    <row r="158" spans="1:7">
      <c r="A158" s="10" t="s">
        <v>9</v>
      </c>
      <c r="B158" s="2" t="s">
        <v>587</v>
      </c>
      <c r="C158" s="11" t="s">
        <v>588</v>
      </c>
      <c r="D158" s="2"/>
      <c r="E158" s="2"/>
      <c r="F158" s="2"/>
      <c r="G158" s="2"/>
    </row>
    <row r="159" spans="1:7">
      <c r="A159" s="10" t="s">
        <v>9</v>
      </c>
      <c r="B159" s="2" t="s">
        <v>589</v>
      </c>
      <c r="C159" s="11" t="s">
        <v>590</v>
      </c>
      <c r="D159" s="2"/>
      <c r="E159" s="2"/>
      <c r="F159" s="2"/>
      <c r="G159" s="2"/>
    </row>
    <row r="160" spans="1:7">
      <c r="A160" s="10" t="s">
        <v>9</v>
      </c>
      <c r="B160" s="2" t="s">
        <v>591</v>
      </c>
      <c r="C160" s="11" t="s">
        <v>592</v>
      </c>
      <c r="D160" s="2"/>
      <c r="E160" s="2"/>
      <c r="F160" s="2"/>
      <c r="G160" s="2"/>
    </row>
    <row r="161" spans="1:7">
      <c r="A161" s="10" t="s">
        <v>9</v>
      </c>
      <c r="B161" s="2" t="s">
        <v>593</v>
      </c>
      <c r="C161" s="11" t="s">
        <v>594</v>
      </c>
      <c r="D161" s="2"/>
      <c r="E161" s="2"/>
      <c r="F161" s="2"/>
      <c r="G161" s="2"/>
    </row>
    <row r="162" spans="1:7">
      <c r="A162" s="10" t="s">
        <v>9</v>
      </c>
      <c r="B162" s="2" t="s">
        <v>595</v>
      </c>
      <c r="C162" s="11" t="s">
        <v>596</v>
      </c>
      <c r="D162" s="2"/>
      <c r="E162" s="2"/>
      <c r="F162" s="2"/>
      <c r="G162" s="2"/>
    </row>
    <row r="163" spans="1:7">
      <c r="A163" s="10" t="s">
        <v>9</v>
      </c>
      <c r="B163" s="2" t="s">
        <v>597</v>
      </c>
      <c r="C163" s="11" t="s">
        <v>598</v>
      </c>
      <c r="D163" s="2"/>
      <c r="E163" s="2"/>
      <c r="F163" s="2"/>
      <c r="G163" s="2"/>
    </row>
    <row r="164" spans="1:7">
      <c r="A164" s="10" t="s">
        <v>9</v>
      </c>
      <c r="B164" s="2" t="s">
        <v>599</v>
      </c>
      <c r="C164" s="11" t="s">
        <v>600</v>
      </c>
      <c r="D164" s="2"/>
      <c r="E164" s="2"/>
      <c r="F164" s="2"/>
      <c r="G164" s="2"/>
    </row>
    <row r="165" spans="1:7">
      <c r="A165" s="10" t="s">
        <v>9</v>
      </c>
      <c r="B165" s="2" t="s">
        <v>601</v>
      </c>
      <c r="C165" s="11" t="s">
        <v>602</v>
      </c>
      <c r="D165" s="2"/>
      <c r="E165" s="2"/>
      <c r="F165" s="2"/>
      <c r="G165" s="2"/>
    </row>
    <row r="166" spans="1:7">
      <c r="A166" s="10" t="s">
        <v>9</v>
      </c>
      <c r="B166" s="2" t="s">
        <v>603</v>
      </c>
      <c r="C166" s="11" t="s">
        <v>604</v>
      </c>
      <c r="D166" s="2"/>
      <c r="E166" s="2"/>
      <c r="F166" s="2"/>
      <c r="G166" s="2"/>
    </row>
    <row r="167" spans="1:7">
      <c r="A167" s="10" t="s">
        <v>9</v>
      </c>
      <c r="B167" s="2" t="s">
        <v>605</v>
      </c>
      <c r="C167" s="11" t="s">
        <v>606</v>
      </c>
      <c r="D167" s="2"/>
      <c r="E167" s="2"/>
      <c r="F167" s="2"/>
      <c r="G167" s="2"/>
    </row>
    <row r="168" spans="1:7">
      <c r="A168" s="10" t="s">
        <v>9</v>
      </c>
      <c r="B168" s="2" t="s">
        <v>607</v>
      </c>
      <c r="C168" s="11" t="s">
        <v>608</v>
      </c>
      <c r="D168" s="2"/>
      <c r="E168" s="2"/>
      <c r="F168" s="2"/>
      <c r="G168" s="2"/>
    </row>
    <row r="169" spans="1:7">
      <c r="A169" s="10" t="s">
        <v>9</v>
      </c>
      <c r="B169" s="2" t="s">
        <v>609</v>
      </c>
      <c r="C169" s="11" t="s">
        <v>483</v>
      </c>
      <c r="D169" s="2"/>
      <c r="E169" s="2"/>
      <c r="F169" s="2"/>
      <c r="G169" s="2"/>
    </row>
    <row r="170" spans="1:7">
      <c r="A170" s="10" t="s">
        <v>9</v>
      </c>
      <c r="B170" s="2" t="s">
        <v>610</v>
      </c>
      <c r="C170" s="11" t="s">
        <v>611</v>
      </c>
      <c r="D170" s="2"/>
      <c r="E170" s="2"/>
      <c r="F170" s="2"/>
      <c r="G170" s="2"/>
    </row>
    <row r="171" spans="1:7">
      <c r="A171" s="10" t="s">
        <v>9</v>
      </c>
      <c r="B171" s="2" t="s">
        <v>612</v>
      </c>
      <c r="C171" s="11" t="s">
        <v>613</v>
      </c>
      <c r="D171" s="2"/>
      <c r="E171" s="2"/>
      <c r="F171" s="2"/>
      <c r="G171" s="2"/>
    </row>
    <row r="172" spans="1:7">
      <c r="A172" s="10" t="s">
        <v>9</v>
      </c>
      <c r="B172" s="2" t="s">
        <v>614</v>
      </c>
      <c r="C172" s="11" t="s">
        <v>615</v>
      </c>
      <c r="D172" s="2"/>
      <c r="E172" s="2"/>
      <c r="F172" s="2"/>
      <c r="G172" s="2"/>
    </row>
    <row r="173" spans="1:7">
      <c r="A173" s="10" t="s">
        <v>9</v>
      </c>
      <c r="B173" s="2" t="s">
        <v>616</v>
      </c>
      <c r="C173" s="11" t="s">
        <v>617</v>
      </c>
      <c r="D173" s="2"/>
      <c r="E173" s="2"/>
      <c r="F173" s="2"/>
      <c r="G173" s="2"/>
    </row>
    <row r="174" spans="1:7">
      <c r="A174" s="10" t="s">
        <v>9</v>
      </c>
      <c r="B174" s="2" t="s">
        <v>618</v>
      </c>
      <c r="C174" s="11" t="s">
        <v>619</v>
      </c>
      <c r="D174" s="2"/>
      <c r="E174" s="2"/>
      <c r="F174" s="2"/>
      <c r="G174" s="2"/>
    </row>
    <row r="175" spans="1:7">
      <c r="A175" s="10" t="s">
        <v>9</v>
      </c>
      <c r="B175" s="2" t="s">
        <v>620</v>
      </c>
      <c r="C175" s="11" t="s">
        <v>621</v>
      </c>
      <c r="D175" s="2"/>
      <c r="E175" s="2"/>
      <c r="F175" s="2"/>
      <c r="G175" s="2"/>
    </row>
    <row r="176" spans="1:7">
      <c r="A176" s="10" t="s">
        <v>9</v>
      </c>
      <c r="B176" s="2" t="s">
        <v>622</v>
      </c>
      <c r="C176" s="11" t="s">
        <v>623</v>
      </c>
      <c r="D176" s="2"/>
      <c r="E176" s="2"/>
      <c r="F176" s="2"/>
      <c r="G176" s="2"/>
    </row>
    <row r="177" spans="1:7">
      <c r="A177" s="10" t="s">
        <v>9</v>
      </c>
      <c r="B177" s="2" t="s">
        <v>624</v>
      </c>
      <c r="C177" s="11" t="s">
        <v>625</v>
      </c>
      <c r="D177" s="2"/>
      <c r="E177" s="2"/>
      <c r="F177" s="2"/>
      <c r="G177" s="2"/>
    </row>
    <row r="178" spans="1:7">
      <c r="A178" s="10" t="s">
        <v>9</v>
      </c>
      <c r="B178" s="23" t="s">
        <v>626</v>
      </c>
      <c r="C178" s="11" t="s">
        <v>627</v>
      </c>
      <c r="D178" s="2"/>
      <c r="E178" s="2"/>
      <c r="F178" s="2"/>
      <c r="G178" s="2"/>
    </row>
    <row r="179" spans="1:7">
      <c r="A179" s="10" t="s">
        <v>9</v>
      </c>
      <c r="B179" s="2" t="s">
        <v>628</v>
      </c>
      <c r="C179" s="11" t="s">
        <v>287</v>
      </c>
      <c r="D179" s="2"/>
      <c r="E179" s="2"/>
      <c r="F179" s="2"/>
      <c r="G179" s="2"/>
    </row>
    <row r="180" spans="1:7">
      <c r="A180" s="10" t="s">
        <v>9</v>
      </c>
      <c r="B180" s="2" t="s">
        <v>629</v>
      </c>
      <c r="C180" s="11" t="s">
        <v>630</v>
      </c>
      <c r="D180" s="2"/>
      <c r="E180" s="2"/>
      <c r="F180" s="2"/>
      <c r="G180" s="2"/>
    </row>
    <row r="181" spans="1:7">
      <c r="A181" s="10" t="s">
        <v>9</v>
      </c>
      <c r="B181" s="2" t="s">
        <v>631</v>
      </c>
      <c r="C181" s="11" t="s">
        <v>632</v>
      </c>
      <c r="D181" s="2"/>
      <c r="E181" s="2"/>
      <c r="F181" s="2"/>
      <c r="G181" s="2"/>
    </row>
    <row r="182" spans="1:7">
      <c r="A182" s="10" t="s">
        <v>9</v>
      </c>
      <c r="B182" s="2" t="s">
        <v>633</v>
      </c>
      <c r="C182" s="11" t="s">
        <v>634</v>
      </c>
      <c r="D182" s="2"/>
      <c r="E182" s="2"/>
      <c r="F182" s="2"/>
      <c r="G182" s="2"/>
    </row>
    <row r="183" spans="1:7">
      <c r="A183" s="10" t="s">
        <v>9</v>
      </c>
      <c r="B183" s="2" t="s">
        <v>635</v>
      </c>
      <c r="C183" s="11" t="s">
        <v>636</v>
      </c>
      <c r="D183" s="2"/>
      <c r="E183" s="2"/>
      <c r="F183" s="2"/>
      <c r="G183" s="2"/>
    </row>
    <row r="184" spans="1:3">
      <c r="A184" s="10" t="s">
        <v>9</v>
      </c>
      <c r="B184" s="2" t="s">
        <v>637</v>
      </c>
      <c r="C184" s="11" t="s">
        <v>638</v>
      </c>
    </row>
    <row r="185" spans="1:3">
      <c r="A185" s="10" t="s">
        <v>9</v>
      </c>
      <c r="B185" s="2" t="s">
        <v>639</v>
      </c>
      <c r="C185" s="11" t="s">
        <v>483</v>
      </c>
    </row>
    <row r="186" spans="1:3">
      <c r="A186" s="10" t="s">
        <v>9</v>
      </c>
      <c r="B186" s="2" t="s">
        <v>640</v>
      </c>
      <c r="C186" s="11" t="s">
        <v>287</v>
      </c>
    </row>
    <row r="187" spans="1:3">
      <c r="A187" s="10" t="s">
        <v>9</v>
      </c>
      <c r="B187" s="2" t="s">
        <v>641</v>
      </c>
      <c r="C187" s="11" t="s">
        <v>642</v>
      </c>
    </row>
    <row r="188" spans="1:3">
      <c r="A188" s="10" t="s">
        <v>9</v>
      </c>
      <c r="B188" s="2" t="s">
        <v>643</v>
      </c>
      <c r="C188" s="11" t="s">
        <v>644</v>
      </c>
    </row>
    <row r="189" spans="1:3">
      <c r="A189" s="10" t="s">
        <v>9</v>
      </c>
      <c r="B189" s="2" t="s">
        <v>645</v>
      </c>
      <c r="C189" s="11" t="s">
        <v>646</v>
      </c>
    </row>
    <row r="190" spans="1:3">
      <c r="A190" s="10" t="s">
        <v>9</v>
      </c>
      <c r="B190" s="2" t="s">
        <v>647</v>
      </c>
      <c r="C190" s="11" t="s">
        <v>648</v>
      </c>
    </row>
    <row r="191" spans="1:3">
      <c r="A191" s="10" t="s">
        <v>9</v>
      </c>
      <c r="B191" s="2" t="s">
        <v>649</v>
      </c>
      <c r="C191" s="11" t="s">
        <v>650</v>
      </c>
    </row>
    <row r="192" spans="1:3">
      <c r="A192" s="10" t="s">
        <v>9</v>
      </c>
      <c r="B192" s="2" t="s">
        <v>651</v>
      </c>
      <c r="C192" s="11" t="s">
        <v>652</v>
      </c>
    </row>
    <row r="193" spans="1:3">
      <c r="A193" s="10" t="s">
        <v>9</v>
      </c>
      <c r="B193" s="2" t="s">
        <v>653</v>
      </c>
      <c r="C193" s="11" t="s">
        <v>654</v>
      </c>
    </row>
    <row r="194" spans="1:3">
      <c r="A194" s="10" t="s">
        <v>9</v>
      </c>
      <c r="B194" s="2" t="s">
        <v>655</v>
      </c>
      <c r="C194" s="11" t="s">
        <v>656</v>
      </c>
    </row>
    <row r="195" spans="1:3">
      <c r="A195" s="10" t="s">
        <v>9</v>
      </c>
      <c r="B195" s="2" t="s">
        <v>657</v>
      </c>
      <c r="C195" s="11" t="s">
        <v>658</v>
      </c>
    </row>
    <row r="196" spans="1:3">
      <c r="A196" s="10" t="s">
        <v>9</v>
      </c>
      <c r="B196" s="2" t="s">
        <v>659</v>
      </c>
      <c r="C196" s="11" t="s">
        <v>660</v>
      </c>
    </row>
    <row r="197" spans="1:3">
      <c r="A197" s="10" t="s">
        <v>9</v>
      </c>
      <c r="B197" s="2" t="s">
        <v>661</v>
      </c>
      <c r="C197" s="11" t="s">
        <v>662</v>
      </c>
    </row>
    <row r="198" spans="1:3">
      <c r="A198" s="10" t="s">
        <v>9</v>
      </c>
      <c r="B198" s="2" t="s">
        <v>663</v>
      </c>
      <c r="C198" s="11" t="s">
        <v>664</v>
      </c>
    </row>
    <row r="199" spans="1:3">
      <c r="A199" s="10" t="s">
        <v>9</v>
      </c>
      <c r="B199" s="2" t="s">
        <v>665</v>
      </c>
      <c r="C199" s="11" t="s">
        <v>666</v>
      </c>
    </row>
    <row r="200" spans="1:3">
      <c r="A200" s="10" t="s">
        <v>9</v>
      </c>
      <c r="B200" s="2" t="s">
        <v>667</v>
      </c>
      <c r="C200" s="11" t="s">
        <v>668</v>
      </c>
    </row>
    <row r="201" spans="1:3">
      <c r="A201" s="10" t="s">
        <v>9</v>
      </c>
      <c r="B201" s="2" t="s">
        <v>669</v>
      </c>
      <c r="C201" s="11" t="s">
        <v>670</v>
      </c>
    </row>
    <row r="202" spans="1:3">
      <c r="A202" s="10" t="s">
        <v>9</v>
      </c>
      <c r="B202" s="2" t="s">
        <v>671</v>
      </c>
      <c r="C202" s="11" t="s">
        <v>672</v>
      </c>
    </row>
    <row r="203" spans="1:3">
      <c r="A203" s="10" t="s">
        <v>9</v>
      </c>
      <c r="B203" s="2" t="s">
        <v>673</v>
      </c>
      <c r="C203" s="11" t="s">
        <v>674</v>
      </c>
    </row>
    <row r="204" spans="1:3">
      <c r="A204" s="10" t="s">
        <v>9</v>
      </c>
      <c r="B204" s="2" t="s">
        <v>675</v>
      </c>
      <c r="C204" s="11" t="s">
        <v>676</v>
      </c>
    </row>
    <row r="205" spans="1:3">
      <c r="A205" s="10" t="s">
        <v>9</v>
      </c>
      <c r="B205" s="2" t="s">
        <v>677</v>
      </c>
      <c r="C205" s="11" t="s">
        <v>678</v>
      </c>
    </row>
    <row r="206" spans="1:3">
      <c r="A206" s="10" t="s">
        <v>9</v>
      </c>
      <c r="B206" s="2" t="s">
        <v>679</v>
      </c>
      <c r="C206" s="11" t="s">
        <v>680</v>
      </c>
    </row>
    <row r="207" spans="1:3">
      <c r="A207" s="10" t="s">
        <v>9</v>
      </c>
      <c r="B207" s="2" t="s">
        <v>681</v>
      </c>
      <c r="C207" s="11" t="s">
        <v>682</v>
      </c>
    </row>
    <row r="208" spans="1:3">
      <c r="A208" s="10" t="s">
        <v>9</v>
      </c>
      <c r="B208" s="2" t="s">
        <v>683</v>
      </c>
      <c r="C208" s="11" t="s">
        <v>684</v>
      </c>
    </row>
    <row r="209" spans="1:3">
      <c r="A209" s="10" t="s">
        <v>9</v>
      </c>
      <c r="B209" s="2" t="s">
        <v>685</v>
      </c>
      <c r="C209" s="11" t="s">
        <v>686</v>
      </c>
    </row>
    <row r="210" spans="1:3">
      <c r="A210" s="10" t="s">
        <v>9</v>
      </c>
      <c r="B210" s="2" t="s">
        <v>687</v>
      </c>
      <c r="C210" s="11" t="s">
        <v>688</v>
      </c>
    </row>
    <row r="211" spans="1:3">
      <c r="A211" s="10" t="s">
        <v>9</v>
      </c>
      <c r="B211" s="2" t="s">
        <v>689</v>
      </c>
      <c r="C211" s="11" t="s">
        <v>690</v>
      </c>
    </row>
    <row r="212" spans="1:3">
      <c r="A212" s="10" t="s">
        <v>9</v>
      </c>
      <c r="B212" s="2" t="s">
        <v>691</v>
      </c>
      <c r="C212" s="11" t="s">
        <v>692</v>
      </c>
    </row>
    <row r="213" spans="1:3">
      <c r="A213" s="10" t="s">
        <v>9</v>
      </c>
      <c r="B213" s="2" t="s">
        <v>693</v>
      </c>
      <c r="C213" s="11" t="s">
        <v>694</v>
      </c>
    </row>
    <row r="214" spans="1:3">
      <c r="A214" s="10" t="s">
        <v>9</v>
      </c>
      <c r="B214" s="2" t="s">
        <v>695</v>
      </c>
      <c r="C214" s="11" t="s">
        <v>696</v>
      </c>
    </row>
    <row r="215" spans="1:3">
      <c r="A215" s="10" t="s">
        <v>9</v>
      </c>
      <c r="B215" s="2" t="s">
        <v>697</v>
      </c>
      <c r="C215" s="11" t="s">
        <v>698</v>
      </c>
    </row>
    <row r="216" spans="1:3">
      <c r="A216" s="10" t="s">
        <v>9</v>
      </c>
      <c r="B216" s="2" t="s">
        <v>699</v>
      </c>
      <c r="C216" s="11" t="s">
        <v>700</v>
      </c>
    </row>
    <row r="217" spans="1:3">
      <c r="A217" s="10" t="s">
        <v>9</v>
      </c>
      <c r="B217" s="2" t="s">
        <v>701</v>
      </c>
      <c r="C217" s="11" t="s">
        <v>702</v>
      </c>
    </row>
    <row r="218" spans="1:3">
      <c r="A218" s="10" t="s">
        <v>9</v>
      </c>
      <c r="B218" s="2" t="s">
        <v>703</v>
      </c>
      <c r="C218" s="11" t="s">
        <v>704</v>
      </c>
    </row>
    <row r="219" spans="1:3">
      <c r="A219" s="10" t="s">
        <v>9</v>
      </c>
      <c r="B219" s="2" t="s">
        <v>705</v>
      </c>
      <c r="C219" s="11" t="s">
        <v>706</v>
      </c>
    </row>
    <row r="220" spans="1:3">
      <c r="A220" s="10" t="s">
        <v>9</v>
      </c>
      <c r="B220" s="2" t="s">
        <v>707</v>
      </c>
      <c r="C220" s="11" t="s">
        <v>708</v>
      </c>
    </row>
    <row r="221" spans="1:3">
      <c r="A221" s="10" t="s">
        <v>9</v>
      </c>
      <c r="B221" s="2" t="s">
        <v>709</v>
      </c>
      <c r="C221" s="11" t="s">
        <v>710</v>
      </c>
    </row>
    <row r="222" spans="1:3">
      <c r="A222" s="10" t="s">
        <v>9</v>
      </c>
      <c r="B222" s="2" t="s">
        <v>711</v>
      </c>
      <c r="C222" s="11" t="s">
        <v>712</v>
      </c>
    </row>
    <row r="223" spans="1:3">
      <c r="A223" s="10" t="s">
        <v>9</v>
      </c>
      <c r="B223" s="2" t="s">
        <v>713</v>
      </c>
      <c r="C223" s="11" t="s">
        <v>714</v>
      </c>
    </row>
    <row r="224" spans="1:3">
      <c r="A224" s="10" t="s">
        <v>9</v>
      </c>
      <c r="B224" s="2" t="s">
        <v>715</v>
      </c>
      <c r="C224" s="11" t="s">
        <v>716</v>
      </c>
    </row>
    <row r="225" spans="1:3">
      <c r="A225" s="10" t="s">
        <v>9</v>
      </c>
      <c r="B225" s="2" t="s">
        <v>717</v>
      </c>
      <c r="C225" s="11" t="s">
        <v>718</v>
      </c>
    </row>
    <row r="226" spans="1:3">
      <c r="A226" s="10" t="s">
        <v>9</v>
      </c>
      <c r="B226" s="2" t="s">
        <v>719</v>
      </c>
      <c r="C226" s="11" t="s">
        <v>720</v>
      </c>
    </row>
    <row r="227" spans="1:3">
      <c r="A227" s="10" t="s">
        <v>9</v>
      </c>
      <c r="B227" s="2" t="s">
        <v>721</v>
      </c>
      <c r="C227" s="11" t="s">
        <v>722</v>
      </c>
    </row>
    <row r="228" spans="1:3">
      <c r="A228" s="10" t="s">
        <v>9</v>
      </c>
      <c r="B228" s="2" t="s">
        <v>723</v>
      </c>
      <c r="C228" s="11" t="s">
        <v>724</v>
      </c>
    </row>
    <row r="229" spans="1:3">
      <c r="A229" s="10" t="s">
        <v>9</v>
      </c>
      <c r="B229" s="2" t="s">
        <v>725</v>
      </c>
      <c r="C229" s="11" t="s">
        <v>726</v>
      </c>
    </row>
    <row r="230" spans="1:3">
      <c r="A230" s="10" t="s">
        <v>9</v>
      </c>
      <c r="B230" s="2" t="s">
        <v>727</v>
      </c>
      <c r="C230" s="11" t="s">
        <v>728</v>
      </c>
    </row>
    <row r="231" spans="1:3">
      <c r="A231" s="10" t="s">
        <v>9</v>
      </c>
      <c r="B231" s="2" t="s">
        <v>729</v>
      </c>
      <c r="C231" s="11" t="s">
        <v>730</v>
      </c>
    </row>
    <row r="232" spans="1:3">
      <c r="A232" s="10" t="s">
        <v>9</v>
      </c>
      <c r="B232" s="2" t="s">
        <v>731</v>
      </c>
      <c r="C232" s="11" t="s">
        <v>732</v>
      </c>
    </row>
    <row r="233" spans="1:3">
      <c r="A233" s="10" t="s">
        <v>9</v>
      </c>
      <c r="B233" s="2" t="s">
        <v>733</v>
      </c>
      <c r="C233" s="11" t="s">
        <v>734</v>
      </c>
    </row>
    <row r="234" spans="1:3">
      <c r="A234" s="10" t="s">
        <v>9</v>
      </c>
      <c r="B234" s="2" t="s">
        <v>735</v>
      </c>
      <c r="C234" s="11" t="s">
        <v>736</v>
      </c>
    </row>
    <row r="235" spans="1:3">
      <c r="A235" s="10" t="s">
        <v>9</v>
      </c>
      <c r="B235" s="2" t="s">
        <v>737</v>
      </c>
      <c r="C235" s="11" t="s">
        <v>738</v>
      </c>
    </row>
    <row r="236" spans="1:3">
      <c r="A236" s="10" t="s">
        <v>9</v>
      </c>
      <c r="B236" s="2" t="s">
        <v>739</v>
      </c>
      <c r="C236" s="11" t="s">
        <v>740</v>
      </c>
    </row>
    <row r="237" spans="1:3">
      <c r="A237" s="10" t="s">
        <v>9</v>
      </c>
      <c r="B237" s="2" t="s">
        <v>741</v>
      </c>
      <c r="C237" s="11" t="s">
        <v>742</v>
      </c>
    </row>
    <row r="238" spans="1:3">
      <c r="A238" s="10" t="s">
        <v>9</v>
      </c>
      <c r="B238" s="2" t="s">
        <v>743</v>
      </c>
      <c r="C238" s="11" t="s">
        <v>744</v>
      </c>
    </row>
    <row r="239" spans="1:3">
      <c r="A239" s="10" t="s">
        <v>9</v>
      </c>
      <c r="B239" s="2" t="s">
        <v>745</v>
      </c>
      <c r="C239" s="11" t="s">
        <v>746</v>
      </c>
    </row>
    <row r="240" spans="1:3">
      <c r="A240" s="10" t="s">
        <v>9</v>
      </c>
      <c r="B240" s="2" t="s">
        <v>747</v>
      </c>
      <c r="C240" s="11" t="s">
        <v>748</v>
      </c>
    </row>
    <row r="241" spans="1:3">
      <c r="A241" s="10" t="s">
        <v>9</v>
      </c>
      <c r="B241" s="2" t="s">
        <v>749</v>
      </c>
      <c r="C241" s="11" t="s">
        <v>750</v>
      </c>
    </row>
    <row r="242" spans="1:3">
      <c r="A242" s="10" t="s">
        <v>9</v>
      </c>
      <c r="B242" s="2" t="s">
        <v>751</v>
      </c>
      <c r="C242" s="11"/>
    </row>
    <row r="243" spans="1:3">
      <c r="A243" s="10" t="s">
        <v>9</v>
      </c>
      <c r="B243" s="2" t="s">
        <v>752</v>
      </c>
      <c r="C243" s="11" t="s">
        <v>452</v>
      </c>
    </row>
    <row r="244" spans="1:3">
      <c r="A244" s="10" t="s">
        <v>9</v>
      </c>
      <c r="B244" s="2" t="s">
        <v>753</v>
      </c>
      <c r="C244" s="11" t="s">
        <v>754</v>
      </c>
    </row>
    <row r="245" spans="1:3">
      <c r="A245" s="10" t="s">
        <v>9</v>
      </c>
      <c r="B245" s="2" t="s">
        <v>755</v>
      </c>
      <c r="C245" s="11" t="s">
        <v>756</v>
      </c>
    </row>
    <row r="246" spans="1:3">
      <c r="A246" s="10" t="s">
        <v>9</v>
      </c>
      <c r="B246" s="2" t="s">
        <v>757</v>
      </c>
      <c r="C246" s="11" t="s">
        <v>369</v>
      </c>
    </row>
    <row r="247" spans="1:3">
      <c r="A247" s="10" t="s">
        <v>9</v>
      </c>
      <c r="B247" s="2" t="s">
        <v>758</v>
      </c>
      <c r="C247" s="11" t="s">
        <v>759</v>
      </c>
    </row>
    <row r="248" spans="1:3">
      <c r="A248" s="10" t="s">
        <v>9</v>
      </c>
      <c r="B248" s="2" t="s">
        <v>760</v>
      </c>
      <c r="C248" s="11" t="s">
        <v>761</v>
      </c>
    </row>
    <row r="249" spans="1:3">
      <c r="A249" s="10" t="s">
        <v>9</v>
      </c>
      <c r="B249" s="2" t="s">
        <v>762</v>
      </c>
      <c r="C249" s="11" t="s">
        <v>763</v>
      </c>
    </row>
    <row r="250" spans="1:3">
      <c r="A250" s="10" t="s">
        <v>9</v>
      </c>
      <c r="B250" s="2" t="s">
        <v>764</v>
      </c>
      <c r="C250" s="11" t="s">
        <v>765</v>
      </c>
    </row>
    <row r="251" spans="1:3">
      <c r="A251" s="10" t="s">
        <v>9</v>
      </c>
      <c r="B251" s="2" t="s">
        <v>766</v>
      </c>
      <c r="C251" s="11" t="s">
        <v>767</v>
      </c>
    </row>
    <row r="252" spans="1:3">
      <c r="A252" s="10" t="s">
        <v>9</v>
      </c>
      <c r="B252" s="2" t="s">
        <v>768</v>
      </c>
      <c r="C252" s="11" t="s">
        <v>769</v>
      </c>
    </row>
    <row r="253" spans="1:3">
      <c r="A253" s="10" t="s">
        <v>9</v>
      </c>
      <c r="B253" s="2" t="s">
        <v>770</v>
      </c>
      <c r="C253" s="11" t="s">
        <v>771</v>
      </c>
    </row>
    <row r="254" spans="1:3">
      <c r="A254" s="10" t="s">
        <v>9</v>
      </c>
      <c r="B254" s="2" t="s">
        <v>772</v>
      </c>
      <c r="C254" s="11" t="s">
        <v>773</v>
      </c>
    </row>
    <row r="255" spans="1:3">
      <c r="A255" s="10" t="s">
        <v>9</v>
      </c>
      <c r="B255" s="2" t="s">
        <v>774</v>
      </c>
      <c r="C255" s="11" t="s">
        <v>775</v>
      </c>
    </row>
    <row r="256" spans="1:3">
      <c r="A256" s="10" t="s">
        <v>9</v>
      </c>
      <c r="B256" s="2" t="s">
        <v>776</v>
      </c>
      <c r="C256" s="11" t="s">
        <v>777</v>
      </c>
    </row>
    <row r="257" spans="1:3">
      <c r="A257" s="10" t="s">
        <v>9</v>
      </c>
      <c r="B257" s="2" t="s">
        <v>778</v>
      </c>
      <c r="C257" s="11" t="s">
        <v>779</v>
      </c>
    </row>
    <row r="258" spans="1:3">
      <c r="A258" s="10" t="s">
        <v>9</v>
      </c>
      <c r="B258" s="2" t="s">
        <v>780</v>
      </c>
      <c r="C258" s="11" t="s">
        <v>781</v>
      </c>
    </row>
    <row r="259" spans="1:3">
      <c r="A259" s="10" t="s">
        <v>9</v>
      </c>
      <c r="B259" s="2" t="s">
        <v>782</v>
      </c>
      <c r="C259" s="11" t="s">
        <v>783</v>
      </c>
    </row>
    <row r="260" spans="1:3">
      <c r="A260" s="10" t="s">
        <v>9</v>
      </c>
      <c r="B260" s="2" t="s">
        <v>784</v>
      </c>
      <c r="C260" s="11" t="s">
        <v>785</v>
      </c>
    </row>
    <row r="261" spans="1:3">
      <c r="A261" s="10" t="s">
        <v>9</v>
      </c>
      <c r="B261" s="2" t="s">
        <v>786</v>
      </c>
      <c r="C261" s="11" t="s">
        <v>287</v>
      </c>
    </row>
    <row r="262" spans="1:3">
      <c r="A262" s="10" t="s">
        <v>9</v>
      </c>
      <c r="B262" s="2" t="s">
        <v>787</v>
      </c>
      <c r="C262" s="11" t="s">
        <v>788</v>
      </c>
    </row>
    <row r="263" spans="1:3">
      <c r="A263" s="10" t="s">
        <v>9</v>
      </c>
      <c r="B263" s="2" t="s">
        <v>789</v>
      </c>
      <c r="C263" s="11" t="s">
        <v>467</v>
      </c>
    </row>
    <row r="264" spans="1:3">
      <c r="A264" s="10" t="s">
        <v>9</v>
      </c>
      <c r="B264" s="2" t="s">
        <v>790</v>
      </c>
      <c r="C264" s="11" t="s">
        <v>791</v>
      </c>
    </row>
    <row r="265" spans="1:3">
      <c r="A265" s="10" t="s">
        <v>9</v>
      </c>
      <c r="B265" s="2" t="s">
        <v>792</v>
      </c>
      <c r="C265" s="11" t="s">
        <v>793</v>
      </c>
    </row>
    <row r="266" spans="1:3">
      <c r="A266" s="10" t="s">
        <v>9</v>
      </c>
      <c r="B266" s="2" t="s">
        <v>794</v>
      </c>
      <c r="C266" s="11" t="s">
        <v>795</v>
      </c>
    </row>
    <row r="267" spans="1:3">
      <c r="A267" s="10" t="s">
        <v>9</v>
      </c>
      <c r="B267" s="2" t="s">
        <v>796</v>
      </c>
      <c r="C267" s="11" t="s">
        <v>797</v>
      </c>
    </row>
    <row r="268" spans="1:3">
      <c r="A268" s="10" t="s">
        <v>9</v>
      </c>
      <c r="B268" s="2" t="s">
        <v>798</v>
      </c>
      <c r="C268" s="11" t="s">
        <v>799</v>
      </c>
    </row>
    <row r="269" spans="1:3">
      <c r="A269" s="10" t="s">
        <v>9</v>
      </c>
      <c r="B269" s="2" t="s">
        <v>800</v>
      </c>
      <c r="C269" s="11" t="s">
        <v>801</v>
      </c>
    </row>
    <row r="270" spans="1:3">
      <c r="A270" s="10" t="s">
        <v>9</v>
      </c>
      <c r="B270" s="2" t="s">
        <v>802</v>
      </c>
      <c r="C270" s="11" t="s">
        <v>803</v>
      </c>
    </row>
    <row r="271" spans="1:3">
      <c r="A271" s="10" t="s">
        <v>9</v>
      </c>
      <c r="B271" s="2" t="s">
        <v>804</v>
      </c>
      <c r="C271" s="11" t="s">
        <v>805</v>
      </c>
    </row>
    <row r="272" spans="1:3">
      <c r="A272" s="10" t="s">
        <v>9</v>
      </c>
      <c r="B272" s="2" t="s">
        <v>806</v>
      </c>
      <c r="C272" s="11" t="s">
        <v>807</v>
      </c>
    </row>
    <row r="273" spans="1:3">
      <c r="A273" s="10" t="s">
        <v>9</v>
      </c>
      <c r="B273" s="2" t="s">
        <v>808</v>
      </c>
      <c r="C273" s="11" t="s">
        <v>809</v>
      </c>
    </row>
    <row r="274" spans="1:3">
      <c r="A274" s="10" t="s">
        <v>9</v>
      </c>
      <c r="B274" s="2" t="s">
        <v>810</v>
      </c>
      <c r="C274" s="11" t="s">
        <v>811</v>
      </c>
    </row>
    <row r="275" spans="1:3">
      <c r="A275" s="10" t="s">
        <v>9</v>
      </c>
      <c r="B275" s="2" t="s">
        <v>812</v>
      </c>
      <c r="C275" s="11" t="s">
        <v>813</v>
      </c>
    </row>
    <row r="276" spans="1:3">
      <c r="A276" s="10" t="s">
        <v>9</v>
      </c>
      <c r="B276" s="2" t="s">
        <v>814</v>
      </c>
      <c r="C276" s="11" t="s">
        <v>815</v>
      </c>
    </row>
    <row r="277" spans="1:3">
      <c r="A277" s="10" t="s">
        <v>9</v>
      </c>
      <c r="B277" s="2" t="s">
        <v>816</v>
      </c>
      <c r="C277" s="11" t="s">
        <v>817</v>
      </c>
    </row>
    <row r="278" spans="1:3">
      <c r="A278" s="10" t="s">
        <v>9</v>
      </c>
      <c r="B278" s="2" t="s">
        <v>818</v>
      </c>
      <c r="C278" s="11" t="s">
        <v>819</v>
      </c>
    </row>
    <row r="279" spans="1:3">
      <c r="A279" s="10" t="s">
        <v>9</v>
      </c>
      <c r="B279" s="2" t="s">
        <v>820</v>
      </c>
      <c r="C279" s="11" t="s">
        <v>821</v>
      </c>
    </row>
    <row r="280" spans="1:3">
      <c r="A280" s="10" t="s">
        <v>9</v>
      </c>
      <c r="B280" s="2" t="s">
        <v>822</v>
      </c>
      <c r="C280" s="11" t="s">
        <v>823</v>
      </c>
    </row>
    <row r="281" spans="1:3">
      <c r="A281" s="10" t="s">
        <v>9</v>
      </c>
      <c r="B281" s="2" t="s">
        <v>824</v>
      </c>
      <c r="C281" s="11" t="s">
        <v>825</v>
      </c>
    </row>
    <row r="282" spans="1:3">
      <c r="A282" s="10" t="s">
        <v>9</v>
      </c>
      <c r="B282" s="2" t="s">
        <v>826</v>
      </c>
      <c r="C282" s="11" t="s">
        <v>827</v>
      </c>
    </row>
    <row r="283" spans="1:3">
      <c r="A283" s="10" t="s">
        <v>9</v>
      </c>
      <c r="B283" s="2" t="s">
        <v>828</v>
      </c>
      <c r="C283" s="11" t="s">
        <v>829</v>
      </c>
    </row>
    <row r="284" spans="1:3">
      <c r="A284" s="10" t="s">
        <v>9</v>
      </c>
      <c r="B284" s="2" t="s">
        <v>830</v>
      </c>
      <c r="C284" s="11" t="s">
        <v>831</v>
      </c>
    </row>
    <row r="285" spans="1:3">
      <c r="A285" s="10" t="s">
        <v>9</v>
      </c>
      <c r="B285" s="2" t="s">
        <v>832</v>
      </c>
      <c r="C285" s="11" t="s">
        <v>833</v>
      </c>
    </row>
    <row r="286" spans="1:3">
      <c r="A286" s="10" t="s">
        <v>9</v>
      </c>
      <c r="B286" s="2" t="s">
        <v>834</v>
      </c>
      <c r="C286" s="11" t="s">
        <v>835</v>
      </c>
    </row>
    <row r="287" spans="1:3">
      <c r="A287" s="10" t="s">
        <v>9</v>
      </c>
      <c r="B287" s="2" t="s">
        <v>836</v>
      </c>
      <c r="C287" s="11" t="s">
        <v>483</v>
      </c>
    </row>
    <row r="288" spans="1:3">
      <c r="A288" s="10" t="s">
        <v>9</v>
      </c>
      <c r="B288" s="2" t="s">
        <v>837</v>
      </c>
      <c r="C288" s="11" t="s">
        <v>838</v>
      </c>
    </row>
    <row r="289" spans="1:3">
      <c r="A289" s="10" t="s">
        <v>9</v>
      </c>
      <c r="B289" s="2" t="s">
        <v>839</v>
      </c>
      <c r="C289" s="11" t="s">
        <v>840</v>
      </c>
    </row>
    <row r="290" spans="1:3">
      <c r="A290" s="10" t="s">
        <v>9</v>
      </c>
      <c r="B290" s="2" t="s">
        <v>841</v>
      </c>
      <c r="C290" s="11" t="s">
        <v>842</v>
      </c>
    </row>
    <row r="291" spans="1:3">
      <c r="A291" s="10" t="s">
        <v>9</v>
      </c>
      <c r="B291" s="2" t="s">
        <v>843</v>
      </c>
      <c r="C291" s="11" t="s">
        <v>844</v>
      </c>
    </row>
    <row r="292" spans="1:3">
      <c r="A292" s="10" t="s">
        <v>9</v>
      </c>
      <c r="B292" s="2" t="s">
        <v>845</v>
      </c>
      <c r="C292" s="11" t="s">
        <v>846</v>
      </c>
    </row>
    <row r="293" spans="1:3">
      <c r="A293" s="10" t="s">
        <v>9</v>
      </c>
      <c r="B293" s="2" t="s">
        <v>847</v>
      </c>
      <c r="C293" s="11" t="s">
        <v>287</v>
      </c>
    </row>
    <row r="294" spans="1:3">
      <c r="A294" s="10" t="s">
        <v>9</v>
      </c>
      <c r="B294" s="2" t="s">
        <v>848</v>
      </c>
      <c r="C294" s="11" t="s">
        <v>849</v>
      </c>
    </row>
    <row r="295" spans="1:3">
      <c r="A295" s="10" t="s">
        <v>9</v>
      </c>
      <c r="B295" s="2" t="s">
        <v>850</v>
      </c>
      <c r="C295" s="11" t="s">
        <v>851</v>
      </c>
    </row>
    <row r="296" spans="1:3">
      <c r="A296" s="10" t="s">
        <v>9</v>
      </c>
      <c r="B296" s="2" t="s">
        <v>852</v>
      </c>
      <c r="C296" s="11" t="s">
        <v>853</v>
      </c>
    </row>
    <row r="297" spans="1:3">
      <c r="A297" s="10" t="s">
        <v>9</v>
      </c>
      <c r="B297" s="2" t="s">
        <v>854</v>
      </c>
      <c r="C297" s="11" t="s">
        <v>855</v>
      </c>
    </row>
    <row r="298" spans="1:3">
      <c r="A298" s="10" t="s">
        <v>9</v>
      </c>
      <c r="B298" s="2" t="s">
        <v>856</v>
      </c>
      <c r="C298" s="11" t="s">
        <v>857</v>
      </c>
    </row>
    <row r="299" spans="1:3">
      <c r="A299" s="10" t="s">
        <v>9</v>
      </c>
      <c r="B299" s="2" t="s">
        <v>858</v>
      </c>
      <c r="C299" s="11" t="s">
        <v>859</v>
      </c>
    </row>
    <row r="300" spans="1:3">
      <c r="A300" s="10" t="s">
        <v>9</v>
      </c>
      <c r="B300" s="2" t="s">
        <v>860</v>
      </c>
      <c r="C300" s="11" t="s">
        <v>861</v>
      </c>
    </row>
    <row r="301" spans="1:3">
      <c r="A301" s="10" t="s">
        <v>9</v>
      </c>
      <c r="B301" s="2" t="s">
        <v>862</v>
      </c>
      <c r="C301" s="11" t="s">
        <v>863</v>
      </c>
    </row>
    <row r="302" spans="1:3">
      <c r="A302" s="10" t="s">
        <v>9</v>
      </c>
      <c r="B302" s="2" t="s">
        <v>864</v>
      </c>
      <c r="C302" s="11" t="s">
        <v>865</v>
      </c>
    </row>
    <row r="303" spans="1:3">
      <c r="A303" s="10" t="s">
        <v>9</v>
      </c>
      <c r="B303" s="2" t="s">
        <v>866</v>
      </c>
      <c r="C303" s="11" t="s">
        <v>867</v>
      </c>
    </row>
    <row r="304" spans="1:3">
      <c r="A304" s="10" t="s">
        <v>9</v>
      </c>
      <c r="B304" s="2" t="s">
        <v>868</v>
      </c>
      <c r="C304" s="11" t="s">
        <v>869</v>
      </c>
    </row>
    <row r="305" spans="1:3">
      <c r="A305" s="10" t="s">
        <v>9</v>
      </c>
      <c r="B305" s="2" t="s">
        <v>870</v>
      </c>
      <c r="C305" s="11" t="s">
        <v>871</v>
      </c>
    </row>
    <row r="306" spans="1:3">
      <c r="A306" s="10" t="s">
        <v>9</v>
      </c>
      <c r="B306" s="2" t="s">
        <v>872</v>
      </c>
      <c r="C306" s="11" t="s">
        <v>873</v>
      </c>
    </row>
    <row r="307" spans="1:3">
      <c r="A307" s="10" t="s">
        <v>9</v>
      </c>
      <c r="B307" s="2" t="s">
        <v>874</v>
      </c>
      <c r="C307" s="11" t="s">
        <v>875</v>
      </c>
    </row>
    <row r="308" spans="1:3">
      <c r="A308" s="10" t="s">
        <v>9</v>
      </c>
      <c r="B308" s="2" t="s">
        <v>876</v>
      </c>
      <c r="C308" s="11" t="s">
        <v>877</v>
      </c>
    </row>
    <row r="309" spans="1:3">
      <c r="A309" s="10" t="s">
        <v>9</v>
      </c>
      <c r="B309" s="2" t="s">
        <v>878</v>
      </c>
      <c r="C309" s="11" t="s">
        <v>823</v>
      </c>
    </row>
    <row r="310" spans="1:3">
      <c r="A310" s="10" t="s">
        <v>9</v>
      </c>
      <c r="B310" s="2" t="s">
        <v>879</v>
      </c>
      <c r="C310" s="11" t="s">
        <v>880</v>
      </c>
    </row>
    <row r="311" spans="1:3">
      <c r="A311" s="10" t="s">
        <v>9</v>
      </c>
      <c r="B311" s="2" t="s">
        <v>881</v>
      </c>
      <c r="C311" s="11" t="s">
        <v>882</v>
      </c>
    </row>
    <row r="312" spans="1:3">
      <c r="A312" s="10" t="s">
        <v>9</v>
      </c>
      <c r="B312" s="2" t="s">
        <v>883</v>
      </c>
      <c r="C312" s="11" t="s">
        <v>684</v>
      </c>
    </row>
    <row r="313" spans="1:3">
      <c r="A313" s="10" t="s">
        <v>9</v>
      </c>
      <c r="B313" s="2" t="s">
        <v>884</v>
      </c>
      <c r="C313" s="11" t="s">
        <v>885</v>
      </c>
    </row>
    <row r="314" spans="1:3">
      <c r="A314" s="10" t="s">
        <v>9</v>
      </c>
      <c r="B314" s="2" t="s">
        <v>886</v>
      </c>
      <c r="C314" s="11" t="s">
        <v>887</v>
      </c>
    </row>
    <row r="315" spans="1:3">
      <c r="A315" s="10" t="s">
        <v>9</v>
      </c>
      <c r="B315" s="2" t="s">
        <v>888</v>
      </c>
      <c r="C315" s="11" t="s">
        <v>889</v>
      </c>
    </row>
    <row r="316" spans="1:3">
      <c r="A316" s="10" t="s">
        <v>9</v>
      </c>
      <c r="B316" s="2" t="s">
        <v>890</v>
      </c>
      <c r="C316" s="11"/>
    </row>
    <row r="317" spans="1:3">
      <c r="A317" s="10" t="s">
        <v>9</v>
      </c>
      <c r="B317" s="2" t="s">
        <v>891</v>
      </c>
      <c r="C317" s="11" t="s">
        <v>892</v>
      </c>
    </row>
    <row r="318" spans="1:3">
      <c r="A318" s="10" t="s">
        <v>9</v>
      </c>
      <c r="B318" s="2" t="s">
        <v>893</v>
      </c>
      <c r="C318" s="11" t="s">
        <v>894</v>
      </c>
    </row>
    <row r="319" spans="1:3">
      <c r="A319" s="10" t="s">
        <v>9</v>
      </c>
      <c r="B319" s="2" t="s">
        <v>895</v>
      </c>
      <c r="C319" s="11" t="s">
        <v>395</v>
      </c>
    </row>
    <row r="320" spans="1:3">
      <c r="A320" s="10" t="s">
        <v>9</v>
      </c>
      <c r="B320" s="2" t="s">
        <v>896</v>
      </c>
      <c r="C320" s="11" t="s">
        <v>897</v>
      </c>
    </row>
    <row r="321" spans="1:3">
      <c r="A321" s="10" t="s">
        <v>9</v>
      </c>
      <c r="B321" s="2" t="s">
        <v>898</v>
      </c>
      <c r="C321" s="11" t="s">
        <v>467</v>
      </c>
    </row>
    <row r="322" spans="1:3">
      <c r="A322" s="10" t="s">
        <v>9</v>
      </c>
      <c r="B322" s="2" t="s">
        <v>899</v>
      </c>
      <c r="C322" s="11" t="s">
        <v>900</v>
      </c>
    </row>
    <row r="323" spans="1:3">
      <c r="A323" s="10" t="s">
        <v>9</v>
      </c>
      <c r="B323" s="2" t="s">
        <v>901</v>
      </c>
      <c r="C323" s="11" t="s">
        <v>902</v>
      </c>
    </row>
    <row r="324" spans="1:3">
      <c r="A324" s="10" t="s">
        <v>9</v>
      </c>
      <c r="B324" s="2" t="s">
        <v>903</v>
      </c>
      <c r="C324" s="11" t="s">
        <v>904</v>
      </c>
    </row>
    <row r="325" spans="1:3">
      <c r="A325" s="10" t="s">
        <v>9</v>
      </c>
      <c r="B325" s="2" t="s">
        <v>905</v>
      </c>
      <c r="C325" s="11" t="s">
        <v>906</v>
      </c>
    </row>
    <row r="326" spans="1:3">
      <c r="A326" s="10" t="s">
        <v>9</v>
      </c>
      <c r="B326" s="2" t="s">
        <v>907</v>
      </c>
      <c r="C326" s="11" t="s">
        <v>908</v>
      </c>
    </row>
    <row r="327" spans="1:3">
      <c r="A327" s="10" t="s">
        <v>9</v>
      </c>
      <c r="B327" s="2" t="s">
        <v>909</v>
      </c>
      <c r="C327" s="11" t="s">
        <v>910</v>
      </c>
    </row>
    <row r="328" spans="1:3">
      <c r="A328" s="10" t="s">
        <v>9</v>
      </c>
      <c r="B328" s="2" t="s">
        <v>911</v>
      </c>
      <c r="C328" s="11" t="s">
        <v>912</v>
      </c>
    </row>
    <row r="329" spans="1:3">
      <c r="A329" s="10" t="s">
        <v>9</v>
      </c>
      <c r="B329" s="2" t="s">
        <v>913</v>
      </c>
      <c r="C329" s="11" t="s">
        <v>914</v>
      </c>
    </row>
    <row r="330" spans="1:3">
      <c r="A330" s="10" t="s">
        <v>9</v>
      </c>
      <c r="B330" s="2" t="s">
        <v>915</v>
      </c>
      <c r="C330" s="11" t="s">
        <v>916</v>
      </c>
    </row>
    <row r="331" spans="1:3">
      <c r="A331" s="10" t="s">
        <v>9</v>
      </c>
      <c r="B331" s="2" t="s">
        <v>917</v>
      </c>
      <c r="C331" s="11" t="s">
        <v>918</v>
      </c>
    </row>
    <row r="332" spans="1:3">
      <c r="A332" s="10" t="s">
        <v>9</v>
      </c>
      <c r="B332" s="2" t="s">
        <v>919</v>
      </c>
      <c r="C332" s="11" t="s">
        <v>920</v>
      </c>
    </row>
    <row r="333" spans="1:3">
      <c r="A333" s="10" t="s">
        <v>9</v>
      </c>
      <c r="B333" s="2" t="s">
        <v>921</v>
      </c>
      <c r="C333" s="11" t="s">
        <v>922</v>
      </c>
    </row>
    <row r="334" spans="1:3">
      <c r="A334" s="10" t="s">
        <v>9</v>
      </c>
      <c r="B334" s="2" t="s">
        <v>923</v>
      </c>
      <c r="C334" s="11" t="s">
        <v>924</v>
      </c>
    </row>
    <row r="335" spans="1:3">
      <c r="A335" s="10" t="s">
        <v>9</v>
      </c>
      <c r="B335" s="2" t="s">
        <v>925</v>
      </c>
      <c r="C335" s="11" t="s">
        <v>926</v>
      </c>
    </row>
    <row r="336" spans="1:3">
      <c r="A336" s="10" t="s">
        <v>9</v>
      </c>
      <c r="B336" s="2" t="s">
        <v>927</v>
      </c>
      <c r="C336" s="11" t="s">
        <v>928</v>
      </c>
    </row>
    <row r="337" spans="1:3">
      <c r="A337" s="10" t="s">
        <v>9</v>
      </c>
      <c r="B337" s="2" t="s">
        <v>929</v>
      </c>
      <c r="C337" s="11" t="s">
        <v>930</v>
      </c>
    </row>
    <row r="338" spans="1:3">
      <c r="A338" s="10" t="s">
        <v>9</v>
      </c>
      <c r="B338" s="2" t="s">
        <v>931</v>
      </c>
      <c r="C338" s="11" t="s">
        <v>287</v>
      </c>
    </row>
    <row r="339" spans="1:3">
      <c r="A339" s="10" t="s">
        <v>9</v>
      </c>
      <c r="B339" s="2" t="s">
        <v>932</v>
      </c>
      <c r="C339" s="11" t="s">
        <v>483</v>
      </c>
    </row>
    <row r="340" spans="1:3">
      <c r="A340" s="10" t="s">
        <v>9</v>
      </c>
      <c r="B340" s="2" t="s">
        <v>933</v>
      </c>
      <c r="C340" s="11" t="s">
        <v>934</v>
      </c>
    </row>
    <row r="341" spans="1:3">
      <c r="A341" s="10" t="s">
        <v>9</v>
      </c>
      <c r="B341" s="2" t="s">
        <v>935</v>
      </c>
      <c r="C341" s="11" t="s">
        <v>936</v>
      </c>
    </row>
    <row r="342" spans="1:3">
      <c r="A342" s="10" t="s">
        <v>9</v>
      </c>
      <c r="B342" s="2" t="s">
        <v>937</v>
      </c>
      <c r="C342" s="11" t="s">
        <v>938</v>
      </c>
    </row>
    <row r="343" spans="1:3">
      <c r="A343" s="10" t="s">
        <v>9</v>
      </c>
      <c r="B343" s="2" t="s">
        <v>939</v>
      </c>
      <c r="C343" s="11" t="s">
        <v>940</v>
      </c>
    </row>
    <row r="344" spans="1:3">
      <c r="A344" s="10" t="s">
        <v>9</v>
      </c>
      <c r="B344" s="2" t="s">
        <v>941</v>
      </c>
      <c r="C344" s="11" t="s">
        <v>942</v>
      </c>
    </row>
    <row r="345" spans="1:3">
      <c r="A345" s="10" t="s">
        <v>9</v>
      </c>
      <c r="B345" s="2" t="s">
        <v>943</v>
      </c>
      <c r="C345" s="11" t="s">
        <v>944</v>
      </c>
    </row>
    <row r="346" spans="1:3">
      <c r="A346" s="10" t="s">
        <v>9</v>
      </c>
      <c r="B346" s="2" t="s">
        <v>945</v>
      </c>
      <c r="C346" s="11" t="s">
        <v>946</v>
      </c>
    </row>
    <row r="347" spans="1:3">
      <c r="A347" s="10" t="s">
        <v>9</v>
      </c>
      <c r="B347" s="2" t="s">
        <v>947</v>
      </c>
      <c r="C347" s="11" t="s">
        <v>948</v>
      </c>
    </row>
    <row r="348" spans="1:3">
      <c r="A348" s="10" t="s">
        <v>9</v>
      </c>
      <c r="B348" s="2" t="s">
        <v>949</v>
      </c>
      <c r="C348" s="11" t="s">
        <v>950</v>
      </c>
    </row>
    <row r="349" spans="1:3">
      <c r="A349" s="10" t="s">
        <v>9</v>
      </c>
      <c r="B349" s="2" t="s">
        <v>951</v>
      </c>
      <c r="C349" s="11" t="s">
        <v>952</v>
      </c>
    </row>
    <row r="350" spans="1:3">
      <c r="A350" s="10" t="s">
        <v>9</v>
      </c>
      <c r="B350" s="2" t="s">
        <v>953</v>
      </c>
      <c r="C350" s="11" t="s">
        <v>823</v>
      </c>
    </row>
    <row r="351" spans="1:3">
      <c r="A351" s="10" t="s">
        <v>9</v>
      </c>
      <c r="B351" s="2" t="s">
        <v>954</v>
      </c>
      <c r="C351" s="11" t="s">
        <v>955</v>
      </c>
    </row>
    <row r="352" spans="1:3">
      <c r="A352" s="10" t="s">
        <v>9</v>
      </c>
      <c r="B352" s="2" t="s">
        <v>956</v>
      </c>
      <c r="C352" s="11" t="s">
        <v>957</v>
      </c>
    </row>
    <row r="353" spans="1:3">
      <c r="A353" s="10" t="s">
        <v>9</v>
      </c>
      <c r="B353" s="2" t="s">
        <v>958</v>
      </c>
      <c r="C353" s="11" t="s">
        <v>959</v>
      </c>
    </row>
    <row r="354" spans="1:3">
      <c r="A354" s="10" t="s">
        <v>9</v>
      </c>
      <c r="B354" s="2" t="s">
        <v>960</v>
      </c>
      <c r="C354" s="11" t="s">
        <v>483</v>
      </c>
    </row>
    <row r="355" spans="1:3">
      <c r="A355" s="10" t="s">
        <v>9</v>
      </c>
      <c r="B355" s="2" t="s">
        <v>961</v>
      </c>
      <c r="C355" s="11" t="s">
        <v>962</v>
      </c>
    </row>
    <row r="356" spans="1:3">
      <c r="A356" s="10" t="s">
        <v>9</v>
      </c>
      <c r="B356" s="2" t="s">
        <v>963</v>
      </c>
      <c r="C356" s="11" t="s">
        <v>964</v>
      </c>
    </row>
    <row r="357" spans="1:3">
      <c r="A357" s="10" t="s">
        <v>9</v>
      </c>
      <c r="B357" s="2" t="s">
        <v>965</v>
      </c>
      <c r="C357" s="11" t="s">
        <v>966</v>
      </c>
    </row>
    <row r="358" spans="1:3">
      <c r="A358" s="10" t="s">
        <v>9</v>
      </c>
      <c r="B358" s="2" t="s">
        <v>967</v>
      </c>
      <c r="C358" s="11" t="s">
        <v>968</v>
      </c>
    </row>
    <row r="359" spans="1:3">
      <c r="A359" s="10" t="s">
        <v>9</v>
      </c>
      <c r="B359" s="2" t="s">
        <v>969</v>
      </c>
      <c r="C359" s="11" t="s">
        <v>970</v>
      </c>
    </row>
    <row r="360" spans="1:3">
      <c r="A360" s="10" t="s">
        <v>9</v>
      </c>
      <c r="B360" s="2" t="s">
        <v>971</v>
      </c>
      <c r="C360" s="11" t="s">
        <v>972</v>
      </c>
    </row>
    <row r="361" spans="1:3">
      <c r="A361" s="10" t="s">
        <v>9</v>
      </c>
      <c r="B361" s="2" t="s">
        <v>973</v>
      </c>
      <c r="C361" s="11" t="s">
        <v>974</v>
      </c>
    </row>
    <row r="362" spans="1:3">
      <c r="A362" s="10" t="s">
        <v>9</v>
      </c>
      <c r="B362" s="2" t="s">
        <v>975</v>
      </c>
      <c r="C362" s="11" t="s">
        <v>976</v>
      </c>
    </row>
    <row r="363" spans="1:3">
      <c r="A363" s="10" t="s">
        <v>9</v>
      </c>
      <c r="B363" s="2" t="s">
        <v>977</v>
      </c>
      <c r="C363" s="11" t="s">
        <v>978</v>
      </c>
    </row>
    <row r="364" spans="1:3">
      <c r="A364" s="10" t="s">
        <v>9</v>
      </c>
      <c r="B364" s="2" t="s">
        <v>979</v>
      </c>
      <c r="C364" s="11" t="s">
        <v>980</v>
      </c>
    </row>
    <row r="365" spans="1:3">
      <c r="A365" s="10" t="s">
        <v>9</v>
      </c>
      <c r="B365" s="2" t="s">
        <v>981</v>
      </c>
      <c r="C365" s="11" t="s">
        <v>982</v>
      </c>
    </row>
    <row r="366" spans="1:3">
      <c r="A366" s="10" t="s">
        <v>9</v>
      </c>
      <c r="B366" s="2" t="s">
        <v>983</v>
      </c>
      <c r="C366" s="11" t="s">
        <v>984</v>
      </c>
    </row>
    <row r="367" spans="1:3">
      <c r="A367" s="10" t="s">
        <v>9</v>
      </c>
      <c r="B367" s="2" t="s">
        <v>985</v>
      </c>
      <c r="C367" s="11" t="s">
        <v>452</v>
      </c>
    </row>
    <row r="368" spans="1:3">
      <c r="A368" s="10" t="s">
        <v>9</v>
      </c>
      <c r="B368" s="2" t="s">
        <v>986</v>
      </c>
      <c r="C368" s="11" t="s">
        <v>987</v>
      </c>
    </row>
    <row r="369" spans="1:3">
      <c r="A369" s="10" t="s">
        <v>9</v>
      </c>
      <c r="B369" s="2" t="s">
        <v>988</v>
      </c>
      <c r="C369" s="11" t="s">
        <v>989</v>
      </c>
    </row>
    <row r="370" spans="1:3">
      <c r="A370" s="10" t="s">
        <v>9</v>
      </c>
      <c r="B370" s="2" t="s">
        <v>990</v>
      </c>
      <c r="C370" s="11" t="s">
        <v>991</v>
      </c>
    </row>
    <row r="371" spans="1:3">
      <c r="A371" s="10" t="s">
        <v>9</v>
      </c>
      <c r="B371" s="2" t="s">
        <v>992</v>
      </c>
      <c r="C371" s="11" t="s">
        <v>993</v>
      </c>
    </row>
    <row r="372" spans="1:3">
      <c r="A372" s="10" t="s">
        <v>9</v>
      </c>
      <c r="B372" s="2" t="s">
        <v>994</v>
      </c>
      <c r="C372" s="11" t="s">
        <v>995</v>
      </c>
    </row>
    <row r="373" spans="1:3">
      <c r="A373" s="10" t="s">
        <v>9</v>
      </c>
      <c r="B373" s="2" t="s">
        <v>996</v>
      </c>
      <c r="C373" s="11" t="s">
        <v>997</v>
      </c>
    </row>
    <row r="374" spans="1:3">
      <c r="A374" s="10" t="s">
        <v>9</v>
      </c>
      <c r="B374" s="2" t="s">
        <v>998</v>
      </c>
      <c r="C374" s="11" t="s">
        <v>999</v>
      </c>
    </row>
    <row r="375" spans="1:3">
      <c r="A375" s="10" t="s">
        <v>9</v>
      </c>
      <c r="B375" s="2" t="s">
        <v>1000</v>
      </c>
      <c r="C375" s="11" t="s">
        <v>1001</v>
      </c>
    </row>
    <row r="376" spans="1:3">
      <c r="A376" s="10" t="s">
        <v>9</v>
      </c>
      <c r="B376" s="2" t="s">
        <v>1002</v>
      </c>
      <c r="C376" s="11" t="s">
        <v>1003</v>
      </c>
    </row>
    <row r="377" spans="1:3">
      <c r="A377" s="10" t="s">
        <v>9</v>
      </c>
      <c r="B377" s="2" t="s">
        <v>1004</v>
      </c>
      <c r="C377" s="11" t="s">
        <v>1005</v>
      </c>
    </row>
    <row r="378" spans="1:3">
      <c r="A378" s="10" t="s">
        <v>9</v>
      </c>
      <c r="B378" s="2" t="s">
        <v>1006</v>
      </c>
      <c r="C378" s="11" t="s">
        <v>1007</v>
      </c>
    </row>
    <row r="379" spans="1:3">
      <c r="A379" s="10" t="s">
        <v>9</v>
      </c>
      <c r="B379" s="2" t="s">
        <v>1008</v>
      </c>
      <c r="C379" s="11" t="s">
        <v>1009</v>
      </c>
    </row>
    <row r="380" spans="1:3">
      <c r="A380" s="10" t="s">
        <v>9</v>
      </c>
      <c r="B380" s="2" t="s">
        <v>1010</v>
      </c>
      <c r="C380" s="11" t="s">
        <v>1011</v>
      </c>
    </row>
    <row r="381" spans="1:3">
      <c r="A381" s="10" t="s">
        <v>9</v>
      </c>
      <c r="B381" s="2" t="s">
        <v>1012</v>
      </c>
      <c r="C381" s="11" t="s">
        <v>1013</v>
      </c>
    </row>
    <row r="382" spans="1:3">
      <c r="A382" s="10" t="s">
        <v>9</v>
      </c>
      <c r="B382" s="2" t="s">
        <v>1014</v>
      </c>
      <c r="C382" s="11" t="s">
        <v>1015</v>
      </c>
    </row>
    <row r="383" spans="1:3">
      <c r="A383" s="10" t="s">
        <v>9</v>
      </c>
      <c r="B383" s="2" t="s">
        <v>1016</v>
      </c>
      <c r="C383" s="11" t="s">
        <v>1017</v>
      </c>
    </row>
    <row r="384" spans="1:3">
      <c r="A384" s="10" t="s">
        <v>9</v>
      </c>
      <c r="B384" s="2" t="s">
        <v>1018</v>
      </c>
      <c r="C384" s="11" t="s">
        <v>1019</v>
      </c>
    </row>
    <row r="385" spans="1:3">
      <c r="A385" s="10" t="s">
        <v>9</v>
      </c>
      <c r="B385" s="2" t="s">
        <v>1020</v>
      </c>
      <c r="C385" s="11" t="s">
        <v>1021</v>
      </c>
    </row>
    <row r="386" spans="1:3">
      <c r="A386" s="10" t="s">
        <v>9</v>
      </c>
      <c r="B386" s="2" t="s">
        <v>1022</v>
      </c>
      <c r="C386" s="11" t="s">
        <v>1023</v>
      </c>
    </row>
    <row r="387" spans="1:3">
      <c r="A387" s="10" t="s">
        <v>9</v>
      </c>
      <c r="B387" s="2" t="s">
        <v>1024</v>
      </c>
      <c r="C387" s="11" t="s">
        <v>1025</v>
      </c>
    </row>
    <row r="388" spans="1:3">
      <c r="A388" s="10" t="s">
        <v>9</v>
      </c>
      <c r="B388" s="2" t="s">
        <v>1026</v>
      </c>
      <c r="C388" s="11" t="s">
        <v>1027</v>
      </c>
    </row>
    <row r="389" spans="1:3">
      <c r="A389" s="10" t="s">
        <v>9</v>
      </c>
      <c r="B389" s="2" t="s">
        <v>1028</v>
      </c>
      <c r="C389" s="11" t="s">
        <v>1029</v>
      </c>
    </row>
    <row r="390" spans="1:3">
      <c r="A390" s="10" t="s">
        <v>9</v>
      </c>
      <c r="B390" s="2" t="s">
        <v>1030</v>
      </c>
      <c r="C390" s="11" t="s">
        <v>1031</v>
      </c>
    </row>
    <row r="391" spans="1:3">
      <c r="A391" s="10" t="s">
        <v>9</v>
      </c>
      <c r="B391" s="2" t="s">
        <v>1032</v>
      </c>
      <c r="C391" s="11" t="s">
        <v>1033</v>
      </c>
    </row>
    <row r="392" spans="1:3">
      <c r="A392" s="10" t="s">
        <v>9</v>
      </c>
      <c r="B392" s="2" t="s">
        <v>1034</v>
      </c>
      <c r="C392" s="11" t="s">
        <v>1035</v>
      </c>
    </row>
    <row r="393" spans="1:3">
      <c r="A393" s="10" t="s">
        <v>9</v>
      </c>
      <c r="B393" s="2" t="s">
        <v>1036</v>
      </c>
      <c r="C393" s="11" t="s">
        <v>1037</v>
      </c>
    </row>
    <row r="394" spans="1:3">
      <c r="A394" s="10" t="s">
        <v>9</v>
      </c>
      <c r="B394" s="2" t="s">
        <v>1038</v>
      </c>
      <c r="C394" s="11" t="s">
        <v>1039</v>
      </c>
    </row>
    <row r="395" spans="1:3">
      <c r="A395" s="10" t="s">
        <v>9</v>
      </c>
      <c r="B395" s="2" t="s">
        <v>1040</v>
      </c>
      <c r="C395" s="11" t="s">
        <v>1041</v>
      </c>
    </row>
    <row r="396" spans="1:3">
      <c r="A396" s="10" t="s">
        <v>9</v>
      </c>
      <c r="B396" s="2" t="s">
        <v>1042</v>
      </c>
      <c r="C396" s="11" t="s">
        <v>1043</v>
      </c>
    </row>
    <row r="397" spans="1:3">
      <c r="A397" s="10" t="s">
        <v>9</v>
      </c>
      <c r="B397" s="2" t="s">
        <v>1044</v>
      </c>
      <c r="C397" s="11" t="s">
        <v>401</v>
      </c>
    </row>
    <row r="398" spans="1:3">
      <c r="A398" s="10" t="s">
        <v>9</v>
      </c>
      <c r="B398" s="2" t="s">
        <v>1045</v>
      </c>
      <c r="C398" s="11" t="s">
        <v>1046</v>
      </c>
    </row>
    <row r="399" spans="1:3">
      <c r="A399" s="10" t="s">
        <v>9</v>
      </c>
      <c r="B399" s="2" t="s">
        <v>1047</v>
      </c>
      <c r="C399" s="11" t="s">
        <v>1048</v>
      </c>
    </row>
    <row r="400" spans="1:3">
      <c r="A400" s="10" t="s">
        <v>9</v>
      </c>
      <c r="B400" s="2" t="s">
        <v>1049</v>
      </c>
      <c r="C400" s="11" t="s">
        <v>1050</v>
      </c>
    </row>
    <row r="401" spans="1:3">
      <c r="A401" s="10" t="s">
        <v>9</v>
      </c>
      <c r="B401" s="2" t="s">
        <v>1051</v>
      </c>
      <c r="C401" s="11" t="s">
        <v>1052</v>
      </c>
    </row>
    <row r="402" spans="1:3">
      <c r="A402" s="10" t="s">
        <v>9</v>
      </c>
      <c r="B402" s="2" t="s">
        <v>1053</v>
      </c>
      <c r="C402" s="11" t="s">
        <v>1054</v>
      </c>
    </row>
    <row r="403" spans="1:3">
      <c r="A403" s="10" t="s">
        <v>9</v>
      </c>
      <c r="B403" s="2" t="s">
        <v>1055</v>
      </c>
      <c r="C403" s="11" t="s">
        <v>1056</v>
      </c>
    </row>
    <row r="404" spans="1:3">
      <c r="A404" s="10" t="s">
        <v>9</v>
      </c>
      <c r="B404" s="2" t="s">
        <v>1057</v>
      </c>
      <c r="C404" s="11" t="s">
        <v>1058</v>
      </c>
    </row>
    <row r="405" spans="1:3">
      <c r="A405" s="10" t="s">
        <v>9</v>
      </c>
      <c r="B405" s="2" t="s">
        <v>1059</v>
      </c>
      <c r="C405" s="11" t="s">
        <v>1060</v>
      </c>
    </row>
    <row r="406" spans="1:3">
      <c r="A406" s="10" t="s">
        <v>9</v>
      </c>
      <c r="B406" s="2" t="s">
        <v>1061</v>
      </c>
      <c r="C406" s="11" t="s">
        <v>1062</v>
      </c>
    </row>
    <row r="407" spans="1:3">
      <c r="A407" s="10" t="s">
        <v>9</v>
      </c>
      <c r="B407" s="2" t="s">
        <v>1063</v>
      </c>
      <c r="C407" s="11" t="s">
        <v>1064</v>
      </c>
    </row>
    <row r="408" spans="1:3">
      <c r="A408" s="10" t="s">
        <v>9</v>
      </c>
      <c r="B408" s="2" t="s">
        <v>1065</v>
      </c>
      <c r="C408" s="11" t="s">
        <v>1066</v>
      </c>
    </row>
    <row r="409" spans="1:3">
      <c r="A409" s="10" t="s">
        <v>9</v>
      </c>
      <c r="B409" s="2" t="s">
        <v>1067</v>
      </c>
      <c r="C409" s="11" t="s">
        <v>1068</v>
      </c>
    </row>
    <row r="410" spans="1:3">
      <c r="A410" s="10" t="s">
        <v>9</v>
      </c>
      <c r="B410" s="2" t="s">
        <v>1069</v>
      </c>
      <c r="C410" s="11" t="s">
        <v>1070</v>
      </c>
    </row>
    <row r="411" spans="1:3">
      <c r="A411" s="10" t="s">
        <v>9</v>
      </c>
      <c r="B411" s="2" t="s">
        <v>1071</v>
      </c>
      <c r="C411" s="11" t="s">
        <v>1072</v>
      </c>
    </row>
    <row r="412" spans="1:3">
      <c r="A412" s="10" t="s">
        <v>9</v>
      </c>
      <c r="B412" s="2" t="s">
        <v>1073</v>
      </c>
      <c r="C412" s="11" t="s">
        <v>1074</v>
      </c>
    </row>
    <row r="413" spans="1:3">
      <c r="A413" s="10" t="s">
        <v>9</v>
      </c>
      <c r="B413" s="2" t="s">
        <v>1075</v>
      </c>
      <c r="C413" s="11" t="s">
        <v>1076</v>
      </c>
    </row>
    <row r="414" spans="1:3">
      <c r="A414" s="10" t="s">
        <v>9</v>
      </c>
      <c r="B414" s="2" t="s">
        <v>1077</v>
      </c>
      <c r="C414" s="11" t="s">
        <v>1078</v>
      </c>
    </row>
    <row r="415" spans="1:3">
      <c r="A415" s="10" t="s">
        <v>9</v>
      </c>
      <c r="B415" s="2" t="s">
        <v>1079</v>
      </c>
      <c r="C415" s="11" t="s">
        <v>1080</v>
      </c>
    </row>
    <row r="416" spans="1:3">
      <c r="A416" s="10" t="s">
        <v>9</v>
      </c>
      <c r="B416" s="2" t="s">
        <v>1081</v>
      </c>
      <c r="C416" s="11" t="s">
        <v>1082</v>
      </c>
    </row>
    <row r="417" spans="1:3">
      <c r="A417" s="10" t="s">
        <v>9</v>
      </c>
      <c r="B417" s="2" t="s">
        <v>1083</v>
      </c>
      <c r="C417" s="11" t="s">
        <v>1084</v>
      </c>
    </row>
    <row r="418" spans="1:3">
      <c r="A418" s="10" t="s">
        <v>9</v>
      </c>
      <c r="B418" s="2" t="s">
        <v>1085</v>
      </c>
      <c r="C418" s="11" t="s">
        <v>1086</v>
      </c>
    </row>
    <row r="419" spans="1:3">
      <c r="A419" s="10" t="s">
        <v>9</v>
      </c>
      <c r="B419" s="2" t="s">
        <v>1087</v>
      </c>
      <c r="C419" s="11" t="s">
        <v>1088</v>
      </c>
    </row>
    <row r="420" spans="1:3">
      <c r="A420" s="10" t="s">
        <v>9</v>
      </c>
      <c r="B420" s="2" t="s">
        <v>1089</v>
      </c>
      <c r="C420" s="11" t="s">
        <v>1074</v>
      </c>
    </row>
    <row r="421" spans="1:3">
      <c r="A421" s="10" t="s">
        <v>9</v>
      </c>
      <c r="B421" s="2" t="s">
        <v>1090</v>
      </c>
      <c r="C421" s="11" t="s">
        <v>1091</v>
      </c>
    </row>
    <row r="422" spans="1:3">
      <c r="A422" s="10" t="s">
        <v>9</v>
      </c>
      <c r="B422" s="2" t="s">
        <v>1092</v>
      </c>
      <c r="C422" s="11" t="s">
        <v>1093</v>
      </c>
    </row>
    <row r="423" spans="1:3">
      <c r="A423" s="10" t="s">
        <v>9</v>
      </c>
      <c r="B423" s="2" t="s">
        <v>1094</v>
      </c>
      <c r="C423" s="11" t="s">
        <v>1095</v>
      </c>
    </row>
    <row r="424" spans="1:3">
      <c r="A424" s="10" t="s">
        <v>9</v>
      </c>
      <c r="B424" s="2" t="s">
        <v>1096</v>
      </c>
      <c r="C424" s="11" t="s">
        <v>1097</v>
      </c>
    </row>
    <row r="425" spans="1:3">
      <c r="A425" s="10" t="s">
        <v>9</v>
      </c>
      <c r="B425" s="2" t="s">
        <v>1098</v>
      </c>
      <c r="C425" s="11" t="s">
        <v>1099</v>
      </c>
    </row>
    <row r="426" spans="1:3">
      <c r="A426" s="10" t="s">
        <v>9</v>
      </c>
      <c r="B426" s="2" t="s">
        <v>1100</v>
      </c>
      <c r="C426" s="11" t="s">
        <v>1101</v>
      </c>
    </row>
    <row r="427" spans="1:3">
      <c r="A427" s="10" t="s">
        <v>9</v>
      </c>
      <c r="B427" s="2" t="s">
        <v>1102</v>
      </c>
      <c r="C427" s="11" t="s">
        <v>1103</v>
      </c>
    </row>
    <row r="428" spans="1:3">
      <c r="A428" s="10" t="s">
        <v>9</v>
      </c>
      <c r="B428" s="2" t="s">
        <v>1104</v>
      </c>
      <c r="C428" s="11" t="s">
        <v>1105</v>
      </c>
    </row>
    <row r="429" spans="1:3">
      <c r="A429" s="10" t="s">
        <v>9</v>
      </c>
      <c r="B429" s="2" t="s">
        <v>1106</v>
      </c>
      <c r="C429" s="11" t="s">
        <v>1107</v>
      </c>
    </row>
    <row r="430" spans="1:3">
      <c r="A430" s="10" t="s">
        <v>9</v>
      </c>
      <c r="B430" s="2" t="s">
        <v>1108</v>
      </c>
      <c r="C430" s="11" t="s">
        <v>1109</v>
      </c>
    </row>
    <row r="431" spans="1:3">
      <c r="A431" s="10" t="s">
        <v>9</v>
      </c>
      <c r="B431" s="2" t="s">
        <v>1110</v>
      </c>
      <c r="C431" s="11" t="s">
        <v>1111</v>
      </c>
    </row>
    <row r="432" spans="1:3">
      <c r="A432" s="10" t="s">
        <v>9</v>
      </c>
      <c r="B432" s="2" t="s">
        <v>1112</v>
      </c>
      <c r="C432" s="11" t="s">
        <v>483</v>
      </c>
    </row>
    <row r="433" spans="1:3">
      <c r="A433" s="10" t="s">
        <v>9</v>
      </c>
      <c r="B433" s="2" t="s">
        <v>1113</v>
      </c>
      <c r="C433" s="11" t="s">
        <v>1114</v>
      </c>
    </row>
    <row r="434" spans="1:3">
      <c r="A434" s="10" t="s">
        <v>9</v>
      </c>
      <c r="B434" s="2" t="s">
        <v>1115</v>
      </c>
      <c r="C434" s="11" t="s">
        <v>1116</v>
      </c>
    </row>
    <row r="435" spans="1:3">
      <c r="A435" s="10" t="s">
        <v>9</v>
      </c>
      <c r="B435" s="2" t="s">
        <v>1117</v>
      </c>
      <c r="C435" s="11" t="s">
        <v>1118</v>
      </c>
    </row>
    <row r="436" spans="1:3">
      <c r="A436" s="10" t="s">
        <v>9</v>
      </c>
      <c r="B436" s="2" t="s">
        <v>1119</v>
      </c>
      <c r="C436" s="11" t="s">
        <v>1120</v>
      </c>
    </row>
    <row r="437" spans="1:3">
      <c r="A437" s="10" t="s">
        <v>9</v>
      </c>
      <c r="B437" s="2" t="s">
        <v>1121</v>
      </c>
      <c r="C437" s="11" t="s">
        <v>1122</v>
      </c>
    </row>
    <row r="438" spans="1:3">
      <c r="A438" s="10" t="s">
        <v>52</v>
      </c>
      <c r="B438" s="2" t="s">
        <v>1123</v>
      </c>
      <c r="C438" s="11" t="s">
        <v>1124</v>
      </c>
    </row>
    <row r="439" spans="1:3">
      <c r="A439" s="10" t="s">
        <v>52</v>
      </c>
      <c r="B439" s="2" t="s">
        <v>1125</v>
      </c>
      <c r="C439" s="11" t="s">
        <v>1126</v>
      </c>
    </row>
    <row r="440" spans="1:3">
      <c r="A440" s="10" t="s">
        <v>52</v>
      </c>
      <c r="B440" s="2" t="s">
        <v>1127</v>
      </c>
      <c r="C440" s="11" t="s">
        <v>1128</v>
      </c>
    </row>
    <row r="441" spans="1:3">
      <c r="A441" s="10" t="s">
        <v>52</v>
      </c>
      <c r="B441" s="2" t="s">
        <v>1129</v>
      </c>
      <c r="C441" s="11" t="s">
        <v>1130</v>
      </c>
    </row>
    <row r="442" spans="1:3">
      <c r="A442" s="10" t="s">
        <v>52</v>
      </c>
      <c r="B442" s="2" t="s">
        <v>1131</v>
      </c>
      <c r="C442" s="11" t="s">
        <v>1132</v>
      </c>
    </row>
    <row r="443" spans="1:3">
      <c r="A443" s="10" t="s">
        <v>52</v>
      </c>
      <c r="B443" s="2" t="s">
        <v>1133</v>
      </c>
      <c r="C443" s="11" t="s">
        <v>1134</v>
      </c>
    </row>
    <row r="444" spans="1:3">
      <c r="A444" s="10" t="s">
        <v>52</v>
      </c>
      <c r="B444" s="2" t="s">
        <v>1135</v>
      </c>
      <c r="C444" s="11" t="s">
        <v>1136</v>
      </c>
    </row>
    <row r="445" spans="1:3">
      <c r="A445" s="10" t="s">
        <v>52</v>
      </c>
      <c r="B445" s="2" t="s">
        <v>1137</v>
      </c>
      <c r="C445" s="11" t="s">
        <v>1138</v>
      </c>
    </row>
    <row r="446" spans="1:3">
      <c r="A446" s="10" t="s">
        <v>52</v>
      </c>
      <c r="B446" s="2" t="s">
        <v>1139</v>
      </c>
      <c r="C446" s="11" t="s">
        <v>1140</v>
      </c>
    </row>
    <row r="447" spans="1:3">
      <c r="A447" s="10" t="s">
        <v>52</v>
      </c>
      <c r="B447" s="2" t="s">
        <v>1141</v>
      </c>
      <c r="C447" s="11" t="s">
        <v>644</v>
      </c>
    </row>
    <row r="448" spans="1:3">
      <c r="A448" s="10" t="s">
        <v>52</v>
      </c>
      <c r="B448" s="2" t="s">
        <v>1142</v>
      </c>
      <c r="C448" s="11" t="s">
        <v>1143</v>
      </c>
    </row>
    <row r="449" spans="1:3">
      <c r="A449" s="10" t="s">
        <v>52</v>
      </c>
      <c r="B449" s="2" t="s">
        <v>1144</v>
      </c>
      <c r="C449" s="11" t="s">
        <v>1145</v>
      </c>
    </row>
    <row r="450" spans="1:3">
      <c r="A450" s="10" t="s">
        <v>52</v>
      </c>
      <c r="B450" s="2" t="s">
        <v>1146</v>
      </c>
      <c r="C450" s="11" t="s">
        <v>1147</v>
      </c>
    </row>
    <row r="451" spans="1:3">
      <c r="A451" s="10" t="s">
        <v>52</v>
      </c>
      <c r="B451" s="2" t="s">
        <v>1148</v>
      </c>
      <c r="C451" s="11" t="s">
        <v>1149</v>
      </c>
    </row>
    <row r="452" spans="1:3">
      <c r="A452" s="10" t="s">
        <v>52</v>
      </c>
      <c r="B452" s="2" t="s">
        <v>1150</v>
      </c>
      <c r="C452" s="11" t="s">
        <v>1151</v>
      </c>
    </row>
    <row r="453" spans="1:3">
      <c r="A453" s="10" t="s">
        <v>52</v>
      </c>
      <c r="B453" s="2" t="s">
        <v>1152</v>
      </c>
      <c r="C453" s="11" t="s">
        <v>1153</v>
      </c>
    </row>
    <row r="454" spans="1:3">
      <c r="A454" s="10" t="s">
        <v>52</v>
      </c>
      <c r="B454" s="2" t="s">
        <v>1154</v>
      </c>
      <c r="C454" s="11" t="s">
        <v>1155</v>
      </c>
    </row>
    <row r="455" spans="1:3">
      <c r="A455" s="10" t="s">
        <v>52</v>
      </c>
      <c r="B455" s="2" t="s">
        <v>1156</v>
      </c>
      <c r="C455" s="11" t="s">
        <v>1157</v>
      </c>
    </row>
    <row r="456" spans="1:3">
      <c r="A456" s="10" t="s">
        <v>52</v>
      </c>
      <c r="B456" s="2" t="s">
        <v>1158</v>
      </c>
      <c r="C456" s="11" t="s">
        <v>1159</v>
      </c>
    </row>
    <row r="457" spans="1:3">
      <c r="A457" s="10" t="s">
        <v>52</v>
      </c>
      <c r="B457" s="2" t="s">
        <v>308</v>
      </c>
      <c r="C457" s="11" t="s">
        <v>309</v>
      </c>
    </row>
    <row r="458" spans="1:3">
      <c r="A458" s="10" t="s">
        <v>52</v>
      </c>
      <c r="B458" s="2" t="s">
        <v>1160</v>
      </c>
      <c r="C458" s="11" t="s">
        <v>1161</v>
      </c>
    </row>
    <row r="459" spans="1:3">
      <c r="A459" s="10" t="s">
        <v>52</v>
      </c>
      <c r="B459" s="2" t="s">
        <v>1162</v>
      </c>
      <c r="C459" s="11" t="s">
        <v>1163</v>
      </c>
    </row>
    <row r="460" spans="1:3">
      <c r="A460" s="10" t="s">
        <v>52</v>
      </c>
      <c r="B460" s="2" t="s">
        <v>1164</v>
      </c>
      <c r="C460" s="11" t="s">
        <v>1165</v>
      </c>
    </row>
    <row r="461" spans="1:3">
      <c r="A461" s="10" t="s">
        <v>52</v>
      </c>
      <c r="B461" s="2" t="s">
        <v>1166</v>
      </c>
      <c r="C461" s="11" t="s">
        <v>287</v>
      </c>
    </row>
    <row r="462" spans="1:3">
      <c r="A462" s="10" t="s">
        <v>52</v>
      </c>
      <c r="B462" s="2" t="s">
        <v>1167</v>
      </c>
      <c r="C462" s="11" t="s">
        <v>1168</v>
      </c>
    </row>
    <row r="463" spans="1:3">
      <c r="A463" s="10" t="s">
        <v>52</v>
      </c>
      <c r="B463" s="2" t="s">
        <v>1169</v>
      </c>
      <c r="C463" s="11" t="s">
        <v>1170</v>
      </c>
    </row>
    <row r="464" spans="1:3">
      <c r="A464" s="10" t="s">
        <v>52</v>
      </c>
      <c r="B464" s="2" t="s">
        <v>1171</v>
      </c>
      <c r="C464" s="11" t="s">
        <v>1172</v>
      </c>
    </row>
    <row r="465" spans="1:3">
      <c r="A465" s="10" t="s">
        <v>52</v>
      </c>
      <c r="B465" s="2" t="s">
        <v>1173</v>
      </c>
      <c r="C465" s="11" t="s">
        <v>1174</v>
      </c>
    </row>
    <row r="466" spans="1:3">
      <c r="A466" s="10" t="s">
        <v>52</v>
      </c>
      <c r="B466" s="2" t="s">
        <v>1175</v>
      </c>
      <c r="C466" s="11" t="s">
        <v>1176</v>
      </c>
    </row>
    <row r="467" spans="1:3">
      <c r="A467" s="10" t="s">
        <v>52</v>
      </c>
      <c r="B467" s="2" t="s">
        <v>1177</v>
      </c>
      <c r="C467" s="11" t="s">
        <v>1178</v>
      </c>
    </row>
    <row r="468" spans="1:3">
      <c r="A468" s="10" t="s">
        <v>52</v>
      </c>
      <c r="B468" s="2" t="s">
        <v>1179</v>
      </c>
      <c r="C468" s="11" t="s">
        <v>1180</v>
      </c>
    </row>
    <row r="469" spans="1:3">
      <c r="A469" s="10" t="s">
        <v>52</v>
      </c>
      <c r="B469" s="2" t="s">
        <v>1181</v>
      </c>
      <c r="C469" s="11" t="s">
        <v>1182</v>
      </c>
    </row>
    <row r="470" spans="1:3">
      <c r="A470" s="10" t="s">
        <v>52</v>
      </c>
      <c r="B470" s="2" t="s">
        <v>1183</v>
      </c>
      <c r="C470" s="11" t="s">
        <v>1184</v>
      </c>
    </row>
    <row r="471" spans="1:3">
      <c r="A471" s="10" t="s">
        <v>52</v>
      </c>
      <c r="B471" s="2" t="s">
        <v>342</v>
      </c>
      <c r="C471" s="11" t="s">
        <v>343</v>
      </c>
    </row>
    <row r="472" spans="1:3">
      <c r="A472" s="10" t="s">
        <v>52</v>
      </c>
      <c r="B472" s="2" t="s">
        <v>1185</v>
      </c>
      <c r="C472" s="11" t="s">
        <v>1186</v>
      </c>
    </row>
    <row r="473" spans="1:3">
      <c r="A473" s="10" t="s">
        <v>52</v>
      </c>
      <c r="B473" s="2" t="s">
        <v>1187</v>
      </c>
      <c r="C473" s="11" t="s">
        <v>1188</v>
      </c>
    </row>
    <row r="474" spans="1:3">
      <c r="A474" s="10" t="s">
        <v>52</v>
      </c>
      <c r="B474" s="2" t="s">
        <v>1189</v>
      </c>
      <c r="C474" s="11" t="s">
        <v>349</v>
      </c>
    </row>
    <row r="475" spans="1:3">
      <c r="A475" s="10" t="s">
        <v>52</v>
      </c>
      <c r="B475" s="2" t="s">
        <v>1190</v>
      </c>
      <c r="C475" s="11" t="s">
        <v>1191</v>
      </c>
    </row>
    <row r="476" spans="1:3">
      <c r="A476" s="10" t="s">
        <v>52</v>
      </c>
      <c r="B476" s="2" t="s">
        <v>1192</v>
      </c>
      <c r="C476" s="11" t="s">
        <v>1193</v>
      </c>
    </row>
    <row r="477" spans="1:3">
      <c r="A477" s="10" t="s">
        <v>52</v>
      </c>
      <c r="B477" s="2" t="s">
        <v>354</v>
      </c>
      <c r="C477" s="11" t="s">
        <v>355</v>
      </c>
    </row>
    <row r="478" spans="1:3">
      <c r="A478" s="10" t="s">
        <v>52</v>
      </c>
      <c r="B478" s="2" t="s">
        <v>1194</v>
      </c>
      <c r="C478" s="11" t="s">
        <v>1195</v>
      </c>
    </row>
    <row r="479" spans="1:3">
      <c r="A479" s="10" t="s">
        <v>52</v>
      </c>
      <c r="B479" s="2" t="s">
        <v>1196</v>
      </c>
      <c r="C479" s="11" t="s">
        <v>1195</v>
      </c>
    </row>
    <row r="480" spans="1:3">
      <c r="A480" s="10" t="s">
        <v>52</v>
      </c>
      <c r="B480" s="2" t="s">
        <v>1197</v>
      </c>
      <c r="C480" s="11" t="s">
        <v>1198</v>
      </c>
    </row>
    <row r="481" spans="1:3">
      <c r="A481" s="10" t="s">
        <v>52</v>
      </c>
      <c r="B481" s="2" t="s">
        <v>1199</v>
      </c>
      <c r="C481" s="11" t="s">
        <v>1200</v>
      </c>
    </row>
    <row r="482" spans="1:3">
      <c r="A482" s="10" t="s">
        <v>52</v>
      </c>
      <c r="B482" s="2" t="s">
        <v>366</v>
      </c>
      <c r="C482" s="11" t="s">
        <v>367</v>
      </c>
    </row>
    <row r="483" spans="1:3">
      <c r="A483" s="10" t="s">
        <v>52</v>
      </c>
      <c r="B483" s="2" t="s">
        <v>368</v>
      </c>
      <c r="C483" s="11" t="s">
        <v>369</v>
      </c>
    </row>
    <row r="484" spans="1:3">
      <c r="A484" s="10" t="s">
        <v>52</v>
      </c>
      <c r="B484" s="2" t="s">
        <v>1201</v>
      </c>
      <c r="C484" s="11" t="s">
        <v>1202</v>
      </c>
    </row>
    <row r="485" spans="1:3">
      <c r="A485" s="10" t="s">
        <v>52</v>
      </c>
      <c r="B485" s="2" t="s">
        <v>372</v>
      </c>
      <c r="C485" s="11" t="s">
        <v>373</v>
      </c>
    </row>
    <row r="486" spans="1:3">
      <c r="A486" s="10" t="s">
        <v>52</v>
      </c>
      <c r="B486" s="2" t="s">
        <v>1203</v>
      </c>
      <c r="C486" s="11" t="s">
        <v>1204</v>
      </c>
    </row>
    <row r="487" spans="1:3">
      <c r="A487" s="10" t="s">
        <v>52</v>
      </c>
      <c r="B487" s="2" t="s">
        <v>1205</v>
      </c>
      <c r="C487" s="11" t="s">
        <v>1206</v>
      </c>
    </row>
    <row r="488" spans="1:3">
      <c r="A488" s="10" t="s">
        <v>52</v>
      </c>
      <c r="B488" s="2" t="s">
        <v>1207</v>
      </c>
      <c r="C488" s="11" t="s">
        <v>1208</v>
      </c>
    </row>
    <row r="489" spans="1:3">
      <c r="A489" s="10" t="s">
        <v>52</v>
      </c>
      <c r="B489" s="2" t="s">
        <v>400</v>
      </c>
      <c r="C489" s="11" t="s">
        <v>401</v>
      </c>
    </row>
    <row r="490" spans="1:3">
      <c r="A490" s="10" t="s">
        <v>52</v>
      </c>
      <c r="B490" s="2" t="s">
        <v>1209</v>
      </c>
      <c r="C490" s="11" t="s">
        <v>1210</v>
      </c>
    </row>
    <row r="491" spans="1:3">
      <c r="A491" s="10" t="s">
        <v>52</v>
      </c>
      <c r="B491" s="2" t="s">
        <v>402</v>
      </c>
      <c r="C491" s="11" t="s">
        <v>403</v>
      </c>
    </row>
    <row r="492" spans="1:3">
      <c r="A492" s="10" t="s">
        <v>52</v>
      </c>
      <c r="B492" s="2" t="s">
        <v>1211</v>
      </c>
      <c r="C492" s="11" t="s">
        <v>1212</v>
      </c>
    </row>
    <row r="493" spans="1:3">
      <c r="A493" s="10" t="s">
        <v>52</v>
      </c>
      <c r="B493" s="2" t="s">
        <v>413</v>
      </c>
      <c r="C493" s="11" t="s">
        <v>414</v>
      </c>
    </row>
    <row r="494" spans="1:3">
      <c r="A494" s="10" t="s">
        <v>52</v>
      </c>
      <c r="B494" s="2" t="s">
        <v>1213</v>
      </c>
      <c r="C494" s="11" t="s">
        <v>1214</v>
      </c>
    </row>
    <row r="495" spans="1:3">
      <c r="A495" s="10" t="s">
        <v>52</v>
      </c>
      <c r="B495" s="2" t="s">
        <v>1215</v>
      </c>
      <c r="C495" s="11" t="s">
        <v>1216</v>
      </c>
    </row>
    <row r="496" spans="1:3">
      <c r="A496" s="10" t="s">
        <v>52</v>
      </c>
      <c r="B496" s="2" t="s">
        <v>1217</v>
      </c>
      <c r="C496" s="11" t="s">
        <v>1218</v>
      </c>
    </row>
    <row r="497" spans="1:3">
      <c r="A497" s="10" t="s">
        <v>52</v>
      </c>
      <c r="B497" s="2" t="s">
        <v>1219</v>
      </c>
      <c r="C497" s="11" t="s">
        <v>1220</v>
      </c>
    </row>
    <row r="498" spans="1:3">
      <c r="A498" s="10" t="s">
        <v>52</v>
      </c>
      <c r="B498" s="2" t="s">
        <v>1221</v>
      </c>
      <c r="C498" s="11" t="s">
        <v>1222</v>
      </c>
    </row>
    <row r="499" spans="1:3">
      <c r="A499" s="10" t="s">
        <v>52</v>
      </c>
      <c r="B499" s="2" t="s">
        <v>1223</v>
      </c>
      <c r="C499" s="11" t="s">
        <v>1224</v>
      </c>
    </row>
    <row r="500" spans="1:3">
      <c r="A500" s="10" t="s">
        <v>52</v>
      </c>
      <c r="B500" s="2" t="s">
        <v>1225</v>
      </c>
      <c r="C500" s="11" t="s">
        <v>1226</v>
      </c>
    </row>
    <row r="501" spans="1:3">
      <c r="A501" s="10" t="s">
        <v>52</v>
      </c>
      <c r="B501" s="2" t="s">
        <v>1227</v>
      </c>
      <c r="C501" s="11" t="s">
        <v>1228</v>
      </c>
    </row>
    <row r="502" spans="1:3">
      <c r="A502" s="10" t="s">
        <v>52</v>
      </c>
      <c r="B502" s="2" t="s">
        <v>1229</v>
      </c>
      <c r="C502" s="11" t="s">
        <v>1230</v>
      </c>
    </row>
    <row r="503" spans="1:3">
      <c r="A503" s="10" t="s">
        <v>52</v>
      </c>
      <c r="B503" s="2" t="s">
        <v>423</v>
      </c>
      <c r="C503" s="11" t="s">
        <v>424</v>
      </c>
    </row>
    <row r="504" spans="1:3">
      <c r="A504" s="10" t="s">
        <v>52</v>
      </c>
      <c r="B504" s="2" t="s">
        <v>1231</v>
      </c>
      <c r="C504" s="11" t="s">
        <v>1232</v>
      </c>
    </row>
    <row r="505" spans="1:3">
      <c r="A505" s="10" t="s">
        <v>52</v>
      </c>
      <c r="B505" s="2" t="s">
        <v>1233</v>
      </c>
      <c r="C505" s="11" t="s">
        <v>1234</v>
      </c>
    </row>
    <row r="506" spans="1:3">
      <c r="A506" s="10" t="s">
        <v>52</v>
      </c>
      <c r="B506" s="2" t="s">
        <v>1235</v>
      </c>
      <c r="C506" s="11" t="s">
        <v>1236</v>
      </c>
    </row>
    <row r="507" spans="1:3">
      <c r="A507" s="10" t="s">
        <v>52</v>
      </c>
      <c r="B507" s="2" t="s">
        <v>1237</v>
      </c>
      <c r="C507" s="11" t="s">
        <v>1238</v>
      </c>
    </row>
    <row r="508" spans="1:3">
      <c r="A508" s="10" t="s">
        <v>52</v>
      </c>
      <c r="B508" s="2" t="s">
        <v>1239</v>
      </c>
      <c r="C508" s="11" t="s">
        <v>1240</v>
      </c>
    </row>
    <row r="509" spans="1:3">
      <c r="A509" s="10" t="s">
        <v>52</v>
      </c>
      <c r="B509" s="2" t="s">
        <v>1241</v>
      </c>
      <c r="C509" s="11" t="s">
        <v>1242</v>
      </c>
    </row>
    <row r="510" spans="1:3">
      <c r="A510" s="10" t="s">
        <v>52</v>
      </c>
      <c r="B510" s="2" t="s">
        <v>1243</v>
      </c>
      <c r="C510" s="11" t="s">
        <v>1244</v>
      </c>
    </row>
    <row r="511" spans="1:3">
      <c r="A511" s="10" t="s">
        <v>52</v>
      </c>
      <c r="B511" s="2" t="s">
        <v>1245</v>
      </c>
      <c r="C511" s="11" t="s">
        <v>1246</v>
      </c>
    </row>
    <row r="512" spans="1:3">
      <c r="A512" s="10" t="s">
        <v>52</v>
      </c>
      <c r="B512" s="2" t="s">
        <v>439</v>
      </c>
      <c r="C512" s="11" t="s">
        <v>440</v>
      </c>
    </row>
    <row r="513" spans="1:3">
      <c r="A513" s="10" t="s">
        <v>52</v>
      </c>
      <c r="B513" s="2" t="s">
        <v>1247</v>
      </c>
      <c r="C513" s="11" t="s">
        <v>1248</v>
      </c>
    </row>
    <row r="514" spans="1:3">
      <c r="A514" s="10" t="s">
        <v>52</v>
      </c>
      <c r="B514" s="2" t="s">
        <v>1249</v>
      </c>
      <c r="C514" s="11" t="s">
        <v>1250</v>
      </c>
    </row>
    <row r="515" spans="1:3">
      <c r="A515" s="10" t="s">
        <v>52</v>
      </c>
      <c r="B515" s="2" t="s">
        <v>441</v>
      </c>
      <c r="C515" s="11" t="s">
        <v>442</v>
      </c>
    </row>
    <row r="516" spans="1:3">
      <c r="A516" s="10" t="s">
        <v>52</v>
      </c>
      <c r="B516" s="2" t="s">
        <v>1251</v>
      </c>
      <c r="C516" s="11" t="s">
        <v>1252</v>
      </c>
    </row>
    <row r="517" spans="1:3">
      <c r="A517" s="10" t="s">
        <v>52</v>
      </c>
      <c r="B517" s="2" t="s">
        <v>1253</v>
      </c>
      <c r="C517" s="11" t="s">
        <v>483</v>
      </c>
    </row>
    <row r="518" spans="1:3">
      <c r="A518" s="10" t="s">
        <v>52</v>
      </c>
      <c r="B518" s="2" t="s">
        <v>449</v>
      </c>
      <c r="C518" s="11" t="s">
        <v>450</v>
      </c>
    </row>
    <row r="519" spans="1:3">
      <c r="A519" s="10" t="s">
        <v>52</v>
      </c>
      <c r="B519" s="2" t="s">
        <v>1254</v>
      </c>
      <c r="C519" s="11" t="s">
        <v>1255</v>
      </c>
    </row>
    <row r="520" spans="1:3">
      <c r="A520" s="10" t="s">
        <v>52</v>
      </c>
      <c r="B520" s="2" t="s">
        <v>1256</v>
      </c>
      <c r="C520" s="11" t="s">
        <v>1257</v>
      </c>
    </row>
    <row r="521" spans="1:3">
      <c r="A521" s="10" t="s">
        <v>52</v>
      </c>
      <c r="B521" s="2" t="s">
        <v>453</v>
      </c>
      <c r="C521" s="11" t="s">
        <v>454</v>
      </c>
    </row>
    <row r="522" spans="1:3">
      <c r="A522" s="10" t="s">
        <v>52</v>
      </c>
      <c r="B522" s="2" t="s">
        <v>1258</v>
      </c>
      <c r="C522" s="11" t="s">
        <v>1259</v>
      </c>
    </row>
    <row r="523" spans="1:3">
      <c r="A523" s="10" t="s">
        <v>52</v>
      </c>
      <c r="B523" s="2" t="s">
        <v>1260</v>
      </c>
      <c r="C523" s="11" t="s">
        <v>1261</v>
      </c>
    </row>
    <row r="524" spans="1:3">
      <c r="A524" s="10" t="s">
        <v>52</v>
      </c>
      <c r="B524" s="2" t="s">
        <v>1262</v>
      </c>
      <c r="C524" s="11" t="s">
        <v>287</v>
      </c>
    </row>
    <row r="525" spans="1:3">
      <c r="A525" s="10" t="s">
        <v>52</v>
      </c>
      <c r="B525" s="2" t="s">
        <v>1263</v>
      </c>
      <c r="C525" s="11" t="s">
        <v>1264</v>
      </c>
    </row>
    <row r="526" spans="1:3">
      <c r="A526" s="10" t="s">
        <v>52</v>
      </c>
      <c r="B526" s="2" t="s">
        <v>1265</v>
      </c>
      <c r="C526" s="11" t="s">
        <v>1266</v>
      </c>
    </row>
    <row r="527" spans="1:3">
      <c r="A527" s="10" t="s">
        <v>52</v>
      </c>
      <c r="B527" s="2" t="s">
        <v>464</v>
      </c>
      <c r="C527" s="11" t="s">
        <v>465</v>
      </c>
    </row>
    <row r="528" spans="1:3">
      <c r="A528" s="10" t="s">
        <v>52</v>
      </c>
      <c r="B528" s="2" t="s">
        <v>1267</v>
      </c>
      <c r="C528" s="11" t="s">
        <v>1268</v>
      </c>
    </row>
    <row r="529" spans="1:3">
      <c r="A529" s="10" t="s">
        <v>52</v>
      </c>
      <c r="B529" s="2" t="s">
        <v>1269</v>
      </c>
      <c r="C529" s="11" t="s">
        <v>1270</v>
      </c>
    </row>
    <row r="530" spans="1:3">
      <c r="A530" s="10" t="s">
        <v>52</v>
      </c>
      <c r="B530" s="2" t="s">
        <v>1271</v>
      </c>
      <c r="C530" s="11" t="s">
        <v>1272</v>
      </c>
    </row>
    <row r="531" spans="1:3">
      <c r="A531" s="10" t="s">
        <v>52</v>
      </c>
      <c r="B531" s="2" t="s">
        <v>1273</v>
      </c>
      <c r="C531" s="11" t="s">
        <v>1274</v>
      </c>
    </row>
    <row r="532" spans="1:3">
      <c r="A532" s="10" t="s">
        <v>52</v>
      </c>
      <c r="B532" s="2" t="s">
        <v>1275</v>
      </c>
      <c r="C532" s="11" t="s">
        <v>644</v>
      </c>
    </row>
    <row r="533" spans="1:3">
      <c r="A533" s="10" t="s">
        <v>52</v>
      </c>
      <c r="B533" s="2" t="s">
        <v>1276</v>
      </c>
      <c r="C533" s="11" t="s">
        <v>1277</v>
      </c>
    </row>
    <row r="534" spans="1:3">
      <c r="A534" s="10" t="s">
        <v>52</v>
      </c>
      <c r="B534" s="2" t="s">
        <v>1278</v>
      </c>
      <c r="C534" s="11" t="s">
        <v>1279</v>
      </c>
    </row>
    <row r="535" spans="1:3">
      <c r="A535" s="10" t="s">
        <v>52</v>
      </c>
      <c r="B535" s="2" t="s">
        <v>1280</v>
      </c>
      <c r="C535" s="11" t="s">
        <v>1281</v>
      </c>
    </row>
    <row r="536" spans="1:3">
      <c r="A536" s="10" t="s">
        <v>52</v>
      </c>
      <c r="B536" s="2" t="s">
        <v>1282</v>
      </c>
      <c r="C536" s="11" t="s">
        <v>1283</v>
      </c>
    </row>
    <row r="537" spans="1:3">
      <c r="A537" s="10" t="s">
        <v>52</v>
      </c>
      <c r="B537" s="2" t="s">
        <v>1284</v>
      </c>
      <c r="C537" s="11" t="s">
        <v>1285</v>
      </c>
    </row>
    <row r="538" spans="1:3">
      <c r="A538" s="10" t="s">
        <v>52</v>
      </c>
      <c r="B538" s="2" t="s">
        <v>1286</v>
      </c>
      <c r="C538" s="11" t="s">
        <v>1287</v>
      </c>
    </row>
    <row r="539" spans="1:3">
      <c r="A539" s="10" t="s">
        <v>52</v>
      </c>
      <c r="B539" s="2" t="s">
        <v>1288</v>
      </c>
      <c r="C539" s="11" t="s">
        <v>1289</v>
      </c>
    </row>
    <row r="540" spans="1:3">
      <c r="A540" s="10" t="s">
        <v>52</v>
      </c>
      <c r="B540" s="2" t="s">
        <v>492</v>
      </c>
      <c r="C540" s="11" t="s">
        <v>493</v>
      </c>
    </row>
    <row r="541" spans="1:3">
      <c r="A541" s="10" t="s">
        <v>52</v>
      </c>
      <c r="B541" s="2" t="s">
        <v>1290</v>
      </c>
      <c r="C541" s="11" t="s">
        <v>1291</v>
      </c>
    </row>
    <row r="542" spans="1:3">
      <c r="A542" s="10" t="s">
        <v>52</v>
      </c>
      <c r="B542" s="2" t="s">
        <v>1292</v>
      </c>
      <c r="C542" s="11" t="s">
        <v>1293</v>
      </c>
    </row>
    <row r="543" spans="1:3">
      <c r="A543" s="10" t="s">
        <v>52</v>
      </c>
      <c r="B543" s="2" t="s">
        <v>1294</v>
      </c>
      <c r="C543" s="11" t="s">
        <v>1295</v>
      </c>
    </row>
    <row r="544" spans="1:3">
      <c r="A544" s="10" t="s">
        <v>52</v>
      </c>
      <c r="B544" s="2" t="s">
        <v>1296</v>
      </c>
      <c r="C544" s="11" t="s">
        <v>1297</v>
      </c>
    </row>
    <row r="545" spans="1:3">
      <c r="A545" s="10" t="s">
        <v>52</v>
      </c>
      <c r="B545" s="2" t="s">
        <v>1298</v>
      </c>
      <c r="C545" s="11" t="s">
        <v>483</v>
      </c>
    </row>
    <row r="546" spans="1:3">
      <c r="A546" s="10" t="s">
        <v>52</v>
      </c>
      <c r="B546" s="2" t="s">
        <v>1299</v>
      </c>
      <c r="C546" s="11" t="s">
        <v>1300</v>
      </c>
    </row>
    <row r="547" spans="1:3">
      <c r="A547" s="10" t="s">
        <v>52</v>
      </c>
      <c r="B547" s="2" t="s">
        <v>1301</v>
      </c>
      <c r="C547" s="11" t="s">
        <v>1302</v>
      </c>
    </row>
    <row r="548" spans="1:3">
      <c r="A548" s="10" t="s">
        <v>52</v>
      </c>
      <c r="B548" s="2" t="s">
        <v>1303</v>
      </c>
      <c r="C548" s="11" t="s">
        <v>1304</v>
      </c>
    </row>
    <row r="549" spans="1:3">
      <c r="A549" s="10" t="s">
        <v>52</v>
      </c>
      <c r="B549" s="2" t="s">
        <v>1305</v>
      </c>
      <c r="C549" s="11" t="s">
        <v>1306</v>
      </c>
    </row>
    <row r="550" spans="1:3">
      <c r="A550" s="10" t="s">
        <v>52</v>
      </c>
      <c r="B550" s="2" t="s">
        <v>1307</v>
      </c>
      <c r="C550" s="11" t="s">
        <v>1308</v>
      </c>
    </row>
    <row r="551" spans="1:3">
      <c r="A551" s="10" t="s">
        <v>52</v>
      </c>
      <c r="B551" s="2" t="s">
        <v>1309</v>
      </c>
      <c r="C551" s="11" t="s">
        <v>1310</v>
      </c>
    </row>
    <row r="552" spans="1:3">
      <c r="A552" s="10" t="s">
        <v>52</v>
      </c>
      <c r="B552" s="2" t="s">
        <v>1311</v>
      </c>
      <c r="C552" s="11" t="s">
        <v>1312</v>
      </c>
    </row>
    <row r="553" spans="1:3">
      <c r="A553" s="10" t="s">
        <v>52</v>
      </c>
      <c r="B553" s="2" t="s">
        <v>1313</v>
      </c>
      <c r="C553" s="11" t="s">
        <v>1314</v>
      </c>
    </row>
    <row r="554" spans="1:3">
      <c r="A554" s="10" t="s">
        <v>52</v>
      </c>
      <c r="B554" s="2" t="s">
        <v>1315</v>
      </c>
      <c r="C554" s="11" t="s">
        <v>1316</v>
      </c>
    </row>
    <row r="555" spans="1:3">
      <c r="A555" s="10" t="s">
        <v>52</v>
      </c>
      <c r="B555" s="2" t="s">
        <v>1317</v>
      </c>
      <c r="C555" s="11" t="s">
        <v>1318</v>
      </c>
    </row>
    <row r="556" spans="1:3">
      <c r="A556" s="10" t="s">
        <v>52</v>
      </c>
      <c r="B556" s="2" t="s">
        <v>1319</v>
      </c>
      <c r="C556" s="11" t="s">
        <v>1320</v>
      </c>
    </row>
    <row r="557" spans="1:3">
      <c r="A557" s="10" t="s">
        <v>52</v>
      </c>
      <c r="B557" s="2" t="s">
        <v>1321</v>
      </c>
      <c r="C557" s="11" t="s">
        <v>1322</v>
      </c>
    </row>
    <row r="558" spans="1:3">
      <c r="A558" s="10" t="s">
        <v>52</v>
      </c>
      <c r="B558" s="2" t="s">
        <v>1323</v>
      </c>
      <c r="C558" s="11" t="s">
        <v>1324</v>
      </c>
    </row>
    <row r="559" spans="1:3">
      <c r="A559" s="10" t="s">
        <v>52</v>
      </c>
      <c r="B559" s="2" t="s">
        <v>1325</v>
      </c>
      <c r="C559" s="11" t="s">
        <v>1326</v>
      </c>
    </row>
    <row r="560" spans="1:3">
      <c r="A560" s="10" t="s">
        <v>52</v>
      </c>
      <c r="B560" s="2" t="s">
        <v>1327</v>
      </c>
      <c r="C560" s="11" t="s">
        <v>1328</v>
      </c>
    </row>
    <row r="561" spans="1:3">
      <c r="A561" s="10" t="s">
        <v>52</v>
      </c>
      <c r="B561" s="2" t="s">
        <v>1329</v>
      </c>
      <c r="C561" s="11" t="s">
        <v>1330</v>
      </c>
    </row>
    <row r="562" spans="1:3">
      <c r="A562" s="10" t="s">
        <v>52</v>
      </c>
      <c r="B562" s="2" t="s">
        <v>1331</v>
      </c>
      <c r="C562" s="11" t="s">
        <v>1332</v>
      </c>
    </row>
    <row r="563" spans="1:3">
      <c r="A563" s="10" t="s">
        <v>52</v>
      </c>
      <c r="B563" s="2" t="s">
        <v>1333</v>
      </c>
      <c r="C563" s="11" t="s">
        <v>1334</v>
      </c>
    </row>
    <row r="564" spans="1:3">
      <c r="A564" s="10" t="s">
        <v>52</v>
      </c>
      <c r="B564" s="2" t="s">
        <v>1335</v>
      </c>
      <c r="C564" s="11" t="s">
        <v>1336</v>
      </c>
    </row>
    <row r="565" spans="1:3">
      <c r="A565" s="10" t="s">
        <v>52</v>
      </c>
      <c r="B565" s="2" t="s">
        <v>1337</v>
      </c>
      <c r="C565" s="11" t="s">
        <v>1338</v>
      </c>
    </row>
    <row r="566" spans="1:3">
      <c r="A566" s="10" t="s">
        <v>52</v>
      </c>
      <c r="B566" s="2" t="s">
        <v>1339</v>
      </c>
      <c r="C566" s="11" t="s">
        <v>1340</v>
      </c>
    </row>
    <row r="567" spans="1:3">
      <c r="A567" s="10" t="s">
        <v>52</v>
      </c>
      <c r="B567" s="2" t="s">
        <v>540</v>
      </c>
      <c r="C567" s="11" t="s">
        <v>541</v>
      </c>
    </row>
    <row r="568" spans="1:3">
      <c r="A568" s="10" t="s">
        <v>52</v>
      </c>
      <c r="B568" s="2" t="s">
        <v>1341</v>
      </c>
      <c r="C568" s="11" t="s">
        <v>1342</v>
      </c>
    </row>
    <row r="569" spans="1:3">
      <c r="A569" s="10" t="s">
        <v>52</v>
      </c>
      <c r="B569" s="2" t="s">
        <v>1343</v>
      </c>
      <c r="C569" s="11" t="s">
        <v>467</v>
      </c>
    </row>
    <row r="570" spans="1:3">
      <c r="A570" s="10" t="s">
        <v>52</v>
      </c>
      <c r="B570" s="2" t="s">
        <v>546</v>
      </c>
      <c r="C570" s="11" t="s">
        <v>547</v>
      </c>
    </row>
    <row r="571" spans="1:3">
      <c r="A571" s="10" t="s">
        <v>52</v>
      </c>
      <c r="B571" s="2" t="s">
        <v>1344</v>
      </c>
      <c r="C571" s="11" t="s">
        <v>1345</v>
      </c>
    </row>
    <row r="572" spans="1:3">
      <c r="A572" s="10" t="s">
        <v>52</v>
      </c>
      <c r="B572" s="2" t="s">
        <v>1346</v>
      </c>
      <c r="C572" s="11" t="s">
        <v>1347</v>
      </c>
    </row>
    <row r="573" spans="1:3">
      <c r="A573" s="10" t="s">
        <v>52</v>
      </c>
      <c r="B573" s="2" t="s">
        <v>1348</v>
      </c>
      <c r="C573" s="11" t="s">
        <v>1349</v>
      </c>
    </row>
    <row r="574" spans="1:3">
      <c r="A574" s="10" t="s">
        <v>52</v>
      </c>
      <c r="B574" s="2" t="s">
        <v>1350</v>
      </c>
      <c r="C574" s="11" t="s">
        <v>1351</v>
      </c>
    </row>
    <row r="575" spans="1:3">
      <c r="A575" s="10" t="s">
        <v>52</v>
      </c>
      <c r="B575" s="2" t="s">
        <v>1352</v>
      </c>
      <c r="C575" s="11" t="s">
        <v>1353</v>
      </c>
    </row>
    <row r="576" spans="1:3">
      <c r="A576" s="10" t="s">
        <v>52</v>
      </c>
      <c r="B576" s="2" t="s">
        <v>1354</v>
      </c>
      <c r="C576" s="11" t="s">
        <v>1355</v>
      </c>
    </row>
    <row r="577" spans="1:3">
      <c r="A577" s="10" t="s">
        <v>52</v>
      </c>
      <c r="B577" s="2" t="s">
        <v>1356</v>
      </c>
      <c r="C577" s="11" t="s">
        <v>1357</v>
      </c>
    </row>
    <row r="578" spans="1:3">
      <c r="A578" s="10" t="s">
        <v>52</v>
      </c>
      <c r="B578" s="2" t="s">
        <v>1358</v>
      </c>
      <c r="C578" s="11" t="s">
        <v>1359</v>
      </c>
    </row>
    <row r="579" spans="1:3">
      <c r="A579" s="10" t="s">
        <v>52</v>
      </c>
      <c r="B579" s="2" t="s">
        <v>1360</v>
      </c>
      <c r="C579" s="11" t="s">
        <v>1361</v>
      </c>
    </row>
    <row r="580" spans="1:3">
      <c r="A580" s="10" t="s">
        <v>52</v>
      </c>
      <c r="B580" s="2" t="s">
        <v>1362</v>
      </c>
      <c r="C580" s="11" t="s">
        <v>1363</v>
      </c>
    </row>
    <row r="581" spans="1:3">
      <c r="A581" s="10" t="s">
        <v>52</v>
      </c>
      <c r="B581" s="2" t="s">
        <v>1364</v>
      </c>
      <c r="C581" s="11" t="s">
        <v>1365</v>
      </c>
    </row>
    <row r="582" spans="1:3">
      <c r="A582" s="10" t="s">
        <v>52</v>
      </c>
      <c r="B582" s="2" t="s">
        <v>1366</v>
      </c>
      <c r="C582" s="11" t="s">
        <v>1367</v>
      </c>
    </row>
    <row r="583" spans="1:3">
      <c r="A583" s="10" t="s">
        <v>52</v>
      </c>
      <c r="B583" s="2" t="s">
        <v>1368</v>
      </c>
      <c r="C583" s="11" t="s">
        <v>287</v>
      </c>
    </row>
    <row r="584" spans="1:3">
      <c r="A584" s="10" t="s">
        <v>52</v>
      </c>
      <c r="B584" s="2" t="s">
        <v>1369</v>
      </c>
      <c r="C584" s="11" t="s">
        <v>1370</v>
      </c>
    </row>
    <row r="585" spans="1:3">
      <c r="A585" s="10" t="s">
        <v>52</v>
      </c>
      <c r="B585" s="2" t="s">
        <v>572</v>
      </c>
      <c r="C585" s="11" t="s">
        <v>573</v>
      </c>
    </row>
    <row r="586" spans="1:3">
      <c r="A586" s="10" t="s">
        <v>52</v>
      </c>
      <c r="B586" s="2" t="s">
        <v>1371</v>
      </c>
      <c r="C586" s="11" t="s">
        <v>1372</v>
      </c>
    </row>
    <row r="587" spans="1:3">
      <c r="A587" s="10" t="s">
        <v>52</v>
      </c>
      <c r="B587" s="2" t="s">
        <v>1373</v>
      </c>
      <c r="C587" s="11" t="s">
        <v>1374</v>
      </c>
    </row>
    <row r="588" spans="1:3">
      <c r="A588" s="10" t="s">
        <v>52</v>
      </c>
      <c r="B588" s="2" t="s">
        <v>578</v>
      </c>
      <c r="C588" s="11" t="s">
        <v>579</v>
      </c>
    </row>
    <row r="589" spans="1:3">
      <c r="A589" s="10" t="s">
        <v>52</v>
      </c>
      <c r="B589" s="2" t="s">
        <v>1375</v>
      </c>
      <c r="C589" s="11" t="s">
        <v>1376</v>
      </c>
    </row>
    <row r="590" spans="1:3">
      <c r="A590" s="10" t="s">
        <v>52</v>
      </c>
      <c r="B590" s="2" t="s">
        <v>1377</v>
      </c>
      <c r="C590" s="11" t="s">
        <v>1378</v>
      </c>
    </row>
    <row r="591" spans="1:3">
      <c r="A591" s="10" t="s">
        <v>52</v>
      </c>
      <c r="B591" s="2" t="s">
        <v>1379</v>
      </c>
      <c r="C591" s="11" t="s">
        <v>287</v>
      </c>
    </row>
    <row r="592" spans="1:3">
      <c r="A592" s="10" t="s">
        <v>52</v>
      </c>
      <c r="B592" s="2" t="s">
        <v>587</v>
      </c>
      <c r="C592" s="11" t="s">
        <v>588</v>
      </c>
    </row>
    <row r="593" spans="1:3">
      <c r="A593" s="10" t="s">
        <v>52</v>
      </c>
      <c r="B593" s="2" t="s">
        <v>1380</v>
      </c>
      <c r="C593" s="11" t="s">
        <v>1381</v>
      </c>
    </row>
    <row r="594" spans="1:3">
      <c r="A594" s="10" t="s">
        <v>52</v>
      </c>
      <c r="B594" s="2" t="s">
        <v>1382</v>
      </c>
      <c r="C594" s="11" t="s">
        <v>1383</v>
      </c>
    </row>
    <row r="595" spans="1:3">
      <c r="A595" s="10" t="s">
        <v>52</v>
      </c>
      <c r="B595" s="2" t="s">
        <v>1384</v>
      </c>
      <c r="C595" s="11" t="s">
        <v>1385</v>
      </c>
    </row>
    <row r="596" spans="1:3">
      <c r="A596" s="10" t="s">
        <v>52</v>
      </c>
      <c r="B596" s="2" t="s">
        <v>1386</v>
      </c>
      <c r="C596" s="11" t="s">
        <v>1387</v>
      </c>
    </row>
    <row r="597" spans="1:3">
      <c r="A597" s="10" t="s">
        <v>52</v>
      </c>
      <c r="B597" s="2" t="s">
        <v>1388</v>
      </c>
      <c r="C597" s="11" t="s">
        <v>1389</v>
      </c>
    </row>
    <row r="598" spans="1:3">
      <c r="A598" s="10" t="s">
        <v>52</v>
      </c>
      <c r="B598" s="2" t="s">
        <v>1390</v>
      </c>
      <c r="C598" s="11" t="s">
        <v>1391</v>
      </c>
    </row>
    <row r="599" spans="1:3">
      <c r="A599" s="10" t="s">
        <v>52</v>
      </c>
      <c r="B599" s="2" t="s">
        <v>1392</v>
      </c>
      <c r="C599" s="11" t="s">
        <v>1393</v>
      </c>
    </row>
    <row r="600" spans="1:3">
      <c r="A600" s="10" t="s">
        <v>52</v>
      </c>
      <c r="B600" s="2" t="s">
        <v>1394</v>
      </c>
      <c r="C600" s="11" t="s">
        <v>1395</v>
      </c>
    </row>
    <row r="601" spans="1:3">
      <c r="A601" s="10" t="s">
        <v>52</v>
      </c>
      <c r="B601" s="2" t="s">
        <v>1396</v>
      </c>
      <c r="C601" s="11" t="s">
        <v>1397</v>
      </c>
    </row>
    <row r="602" spans="1:3">
      <c r="A602" s="10" t="s">
        <v>52</v>
      </c>
      <c r="B602" s="2" t="s">
        <v>1398</v>
      </c>
      <c r="C602" s="11" t="s">
        <v>1399</v>
      </c>
    </row>
    <row r="603" spans="1:3">
      <c r="A603" s="10" t="s">
        <v>52</v>
      </c>
      <c r="B603" s="2" t="s">
        <v>1400</v>
      </c>
      <c r="C603" s="11" t="s">
        <v>1401</v>
      </c>
    </row>
    <row r="604" spans="1:3">
      <c r="A604" s="10" t="s">
        <v>52</v>
      </c>
      <c r="B604" s="2" t="s">
        <v>1402</v>
      </c>
      <c r="C604" s="11" t="s">
        <v>1403</v>
      </c>
    </row>
    <row r="605" spans="1:3">
      <c r="A605" s="10" t="s">
        <v>52</v>
      </c>
      <c r="B605" s="2" t="s">
        <v>1404</v>
      </c>
      <c r="C605" s="11" t="s">
        <v>1405</v>
      </c>
    </row>
    <row r="606" spans="1:3">
      <c r="A606" s="10" t="s">
        <v>52</v>
      </c>
      <c r="B606" s="2" t="s">
        <v>616</v>
      </c>
      <c r="C606" s="11" t="s">
        <v>617</v>
      </c>
    </row>
    <row r="607" spans="1:3">
      <c r="A607" s="10" t="s">
        <v>52</v>
      </c>
      <c r="B607" s="2" t="s">
        <v>1406</v>
      </c>
      <c r="C607" s="11" t="s">
        <v>1407</v>
      </c>
    </row>
    <row r="608" spans="1:3">
      <c r="A608" s="10" t="s">
        <v>52</v>
      </c>
      <c r="B608" s="2" t="s">
        <v>1408</v>
      </c>
      <c r="C608" s="11" t="s">
        <v>1409</v>
      </c>
    </row>
    <row r="609" spans="1:3">
      <c r="A609" s="10" t="s">
        <v>52</v>
      </c>
      <c r="B609" s="2" t="s">
        <v>1410</v>
      </c>
      <c r="C609" s="11" t="s">
        <v>1411</v>
      </c>
    </row>
    <row r="610" spans="1:3">
      <c r="A610" s="10" t="s">
        <v>52</v>
      </c>
      <c r="B610" s="2" t="s">
        <v>620</v>
      </c>
      <c r="C610" s="11" t="s">
        <v>621</v>
      </c>
    </row>
    <row r="611" spans="1:3">
      <c r="A611" s="10" t="s">
        <v>52</v>
      </c>
      <c r="B611" s="2" t="s">
        <v>1412</v>
      </c>
      <c r="C611" s="11" t="s">
        <v>1413</v>
      </c>
    </row>
    <row r="612" spans="1:3">
      <c r="A612" s="10" t="s">
        <v>52</v>
      </c>
      <c r="B612" s="2" t="s">
        <v>1414</v>
      </c>
      <c r="C612" s="11" t="s">
        <v>1415</v>
      </c>
    </row>
    <row r="613" spans="1:3">
      <c r="A613" s="10" t="s">
        <v>52</v>
      </c>
      <c r="B613" s="2" t="s">
        <v>1416</v>
      </c>
      <c r="C613" s="11" t="s">
        <v>855</v>
      </c>
    </row>
    <row r="614" spans="1:3">
      <c r="A614" s="10" t="s">
        <v>52</v>
      </c>
      <c r="B614" s="2" t="s">
        <v>1417</v>
      </c>
      <c r="C614" s="11" t="s">
        <v>1418</v>
      </c>
    </row>
    <row r="615" spans="1:3">
      <c r="A615" s="10" t="s">
        <v>52</v>
      </c>
      <c r="B615" s="2" t="s">
        <v>1419</v>
      </c>
      <c r="C615" s="11" t="s">
        <v>1420</v>
      </c>
    </row>
    <row r="616" spans="1:3">
      <c r="A616" s="10" t="s">
        <v>52</v>
      </c>
      <c r="B616" s="2" t="s">
        <v>1421</v>
      </c>
      <c r="C616" s="11" t="s">
        <v>1422</v>
      </c>
    </row>
    <row r="617" spans="1:3">
      <c r="A617" s="10" t="s">
        <v>52</v>
      </c>
      <c r="B617" s="2" t="s">
        <v>631</v>
      </c>
      <c r="C617" s="11" t="s">
        <v>632</v>
      </c>
    </row>
    <row r="618" spans="1:3">
      <c r="A618" s="10" t="s">
        <v>52</v>
      </c>
      <c r="B618" s="2" t="s">
        <v>1423</v>
      </c>
      <c r="C618" s="11" t="s">
        <v>1424</v>
      </c>
    </row>
    <row r="619" spans="1:3">
      <c r="A619" s="10" t="s">
        <v>52</v>
      </c>
      <c r="B619" s="2" t="s">
        <v>1425</v>
      </c>
      <c r="C619" s="11" t="s">
        <v>1426</v>
      </c>
    </row>
    <row r="620" spans="1:3">
      <c r="A620" s="10" t="s">
        <v>52</v>
      </c>
      <c r="B620" s="2" t="s">
        <v>633</v>
      </c>
      <c r="C620" s="11" t="s">
        <v>634</v>
      </c>
    </row>
    <row r="621" spans="1:3">
      <c r="A621" s="10" t="s">
        <v>52</v>
      </c>
      <c r="B621" s="2" t="s">
        <v>1427</v>
      </c>
      <c r="C621" s="11" t="s">
        <v>287</v>
      </c>
    </row>
    <row r="622" spans="1:3">
      <c r="A622" s="10" t="s">
        <v>52</v>
      </c>
      <c r="B622" s="2" t="s">
        <v>1428</v>
      </c>
      <c r="C622" s="11" t="s">
        <v>1429</v>
      </c>
    </row>
    <row r="623" spans="1:3">
      <c r="A623" s="10" t="s">
        <v>52</v>
      </c>
      <c r="B623" s="2" t="s">
        <v>1430</v>
      </c>
      <c r="C623" s="11" t="s">
        <v>1431</v>
      </c>
    </row>
    <row r="624" spans="1:3">
      <c r="A624" s="10" t="s">
        <v>52</v>
      </c>
      <c r="B624" s="2" t="s">
        <v>1432</v>
      </c>
      <c r="C624" s="11" t="s">
        <v>1433</v>
      </c>
    </row>
    <row r="625" spans="1:3">
      <c r="A625" s="10" t="s">
        <v>52</v>
      </c>
      <c r="B625" s="2" t="s">
        <v>1434</v>
      </c>
      <c r="C625" s="11" t="s">
        <v>1435</v>
      </c>
    </row>
    <row r="626" spans="1:3">
      <c r="A626" s="10" t="s">
        <v>52</v>
      </c>
      <c r="B626" s="2" t="s">
        <v>1436</v>
      </c>
      <c r="C626" s="11" t="s">
        <v>1437</v>
      </c>
    </row>
    <row r="627" spans="1:3">
      <c r="A627" s="10" t="s">
        <v>52</v>
      </c>
      <c r="B627" s="2" t="s">
        <v>643</v>
      </c>
      <c r="C627" s="11" t="s">
        <v>644</v>
      </c>
    </row>
    <row r="628" spans="1:3">
      <c r="A628" s="10" t="s">
        <v>52</v>
      </c>
      <c r="B628" s="2" t="s">
        <v>1438</v>
      </c>
      <c r="C628" s="11" t="s">
        <v>1439</v>
      </c>
    </row>
    <row r="629" spans="1:3">
      <c r="A629" s="10" t="s">
        <v>52</v>
      </c>
      <c r="B629" s="2" t="s">
        <v>1440</v>
      </c>
      <c r="C629" s="11" t="s">
        <v>1441</v>
      </c>
    </row>
    <row r="630" spans="1:3">
      <c r="A630" s="10" t="s">
        <v>52</v>
      </c>
      <c r="B630" s="2" t="s">
        <v>1442</v>
      </c>
      <c r="C630" s="11" t="s">
        <v>1443</v>
      </c>
    </row>
    <row r="631" spans="1:3">
      <c r="A631" s="10" t="s">
        <v>52</v>
      </c>
      <c r="B631" s="2" t="s">
        <v>1444</v>
      </c>
      <c r="C631" s="11" t="s">
        <v>1445</v>
      </c>
    </row>
    <row r="632" spans="1:3">
      <c r="A632" s="10" t="s">
        <v>52</v>
      </c>
      <c r="B632" s="2" t="s">
        <v>1446</v>
      </c>
      <c r="C632" s="11" t="s">
        <v>1447</v>
      </c>
    </row>
    <row r="633" spans="1:3">
      <c r="A633" s="10" t="s">
        <v>52</v>
      </c>
      <c r="B633" s="2" t="s">
        <v>1448</v>
      </c>
      <c r="C633" s="11" t="s">
        <v>1449</v>
      </c>
    </row>
    <row r="634" spans="1:3">
      <c r="A634" s="10" t="s">
        <v>52</v>
      </c>
      <c r="B634" s="2" t="s">
        <v>1450</v>
      </c>
      <c r="C634" s="11" t="s">
        <v>1451</v>
      </c>
    </row>
    <row r="635" spans="1:3">
      <c r="A635" s="10" t="s">
        <v>52</v>
      </c>
      <c r="B635" s="2" t="s">
        <v>1452</v>
      </c>
      <c r="C635" s="11" t="s">
        <v>467</v>
      </c>
    </row>
    <row r="636" spans="1:3">
      <c r="A636" s="10" t="s">
        <v>52</v>
      </c>
      <c r="B636" s="2" t="s">
        <v>1453</v>
      </c>
      <c r="C636" s="11" t="s">
        <v>1454</v>
      </c>
    </row>
    <row r="637" spans="1:3">
      <c r="A637" s="10" t="s">
        <v>52</v>
      </c>
      <c r="B637" s="2" t="s">
        <v>1455</v>
      </c>
      <c r="C637" s="11" t="s">
        <v>1456</v>
      </c>
    </row>
    <row r="638" spans="1:3">
      <c r="A638" s="10" t="s">
        <v>52</v>
      </c>
      <c r="B638" s="2" t="s">
        <v>1457</v>
      </c>
      <c r="C638" s="11" t="s">
        <v>1458</v>
      </c>
    </row>
    <row r="639" spans="1:3">
      <c r="A639" s="10" t="s">
        <v>52</v>
      </c>
      <c r="B639" s="2" t="s">
        <v>1459</v>
      </c>
      <c r="C639" s="11" t="s">
        <v>1460</v>
      </c>
    </row>
    <row r="640" spans="1:3">
      <c r="A640" s="10" t="s">
        <v>52</v>
      </c>
      <c r="B640" s="2" t="s">
        <v>1461</v>
      </c>
      <c r="C640" s="11" t="s">
        <v>1462</v>
      </c>
    </row>
    <row r="641" spans="1:3">
      <c r="A641" s="10" t="s">
        <v>52</v>
      </c>
      <c r="B641" s="2" t="s">
        <v>1463</v>
      </c>
      <c r="C641" s="11" t="s">
        <v>1464</v>
      </c>
    </row>
    <row r="642" spans="1:3">
      <c r="A642" s="10" t="s">
        <v>52</v>
      </c>
      <c r="B642" s="2" t="s">
        <v>657</v>
      </c>
      <c r="C642" s="11" t="s">
        <v>658</v>
      </c>
    </row>
    <row r="643" spans="1:3">
      <c r="A643" s="10" t="s">
        <v>52</v>
      </c>
      <c r="B643" s="2" t="s">
        <v>1465</v>
      </c>
      <c r="C643" s="11" t="s">
        <v>1466</v>
      </c>
    </row>
    <row r="644" spans="1:3">
      <c r="A644" s="10" t="s">
        <v>52</v>
      </c>
      <c r="B644" s="2" t="s">
        <v>1467</v>
      </c>
      <c r="C644" s="11" t="s">
        <v>1468</v>
      </c>
    </row>
    <row r="645" spans="1:3">
      <c r="A645" s="10" t="s">
        <v>52</v>
      </c>
      <c r="B645" s="2" t="s">
        <v>1469</v>
      </c>
      <c r="C645" s="11" t="s">
        <v>1470</v>
      </c>
    </row>
    <row r="646" spans="1:3">
      <c r="A646" s="10" t="s">
        <v>52</v>
      </c>
      <c r="B646" s="2" t="s">
        <v>1471</v>
      </c>
      <c r="C646" s="11" t="s">
        <v>1472</v>
      </c>
    </row>
    <row r="647" spans="1:3">
      <c r="A647" s="10" t="s">
        <v>52</v>
      </c>
      <c r="B647" s="2" t="s">
        <v>1473</v>
      </c>
      <c r="C647" s="11" t="s">
        <v>1474</v>
      </c>
    </row>
    <row r="648" spans="1:3">
      <c r="A648" s="10" t="s">
        <v>52</v>
      </c>
      <c r="B648" s="2" t="s">
        <v>1475</v>
      </c>
      <c r="C648" s="11" t="s">
        <v>1476</v>
      </c>
    </row>
    <row r="649" spans="1:3">
      <c r="A649" s="10" t="s">
        <v>52</v>
      </c>
      <c r="B649" s="2" t="s">
        <v>1477</v>
      </c>
      <c r="C649" s="11" t="s">
        <v>1478</v>
      </c>
    </row>
    <row r="650" spans="1:3">
      <c r="A650" s="10" t="s">
        <v>52</v>
      </c>
      <c r="B650" s="2" t="s">
        <v>1479</v>
      </c>
      <c r="C650" s="11" t="s">
        <v>1480</v>
      </c>
    </row>
    <row r="651" spans="1:3">
      <c r="A651" s="10" t="s">
        <v>52</v>
      </c>
      <c r="B651" s="2" t="s">
        <v>1481</v>
      </c>
      <c r="C651" s="11" t="s">
        <v>1482</v>
      </c>
    </row>
    <row r="652" spans="1:3">
      <c r="A652" s="10" t="s">
        <v>52</v>
      </c>
      <c r="B652" s="2" t="s">
        <v>1483</v>
      </c>
      <c r="C652" s="11" t="s">
        <v>1484</v>
      </c>
    </row>
    <row r="653" spans="1:3">
      <c r="A653" s="10" t="s">
        <v>52</v>
      </c>
      <c r="B653" s="2" t="s">
        <v>1485</v>
      </c>
      <c r="C653" s="11" t="s">
        <v>1486</v>
      </c>
    </row>
    <row r="654" spans="1:3">
      <c r="A654" s="10" t="s">
        <v>52</v>
      </c>
      <c r="B654" s="2" t="s">
        <v>1487</v>
      </c>
      <c r="C654" s="11" t="s">
        <v>1488</v>
      </c>
    </row>
    <row r="655" spans="1:3">
      <c r="A655" s="10" t="s">
        <v>52</v>
      </c>
      <c r="B655" s="2" t="s">
        <v>1489</v>
      </c>
      <c r="C655" s="11" t="s">
        <v>287</v>
      </c>
    </row>
    <row r="656" spans="1:3">
      <c r="A656" s="10" t="s">
        <v>52</v>
      </c>
      <c r="B656" s="2" t="s">
        <v>1490</v>
      </c>
      <c r="C656" s="11" t="s">
        <v>1491</v>
      </c>
    </row>
    <row r="657" spans="1:3">
      <c r="A657" s="10" t="s">
        <v>52</v>
      </c>
      <c r="B657" s="2" t="s">
        <v>1492</v>
      </c>
      <c r="C657" s="11" t="s">
        <v>1493</v>
      </c>
    </row>
    <row r="658" spans="1:3">
      <c r="A658" s="10" t="s">
        <v>52</v>
      </c>
      <c r="B658" s="2" t="s">
        <v>1494</v>
      </c>
      <c r="C658" s="11" t="s">
        <v>1495</v>
      </c>
    </row>
    <row r="659" spans="1:3">
      <c r="A659" s="10" t="s">
        <v>52</v>
      </c>
      <c r="B659" s="2" t="s">
        <v>709</v>
      </c>
      <c r="C659" s="11" t="s">
        <v>710</v>
      </c>
    </row>
    <row r="660" spans="1:3">
      <c r="A660" s="10" t="s">
        <v>52</v>
      </c>
      <c r="B660" s="2" t="s">
        <v>711</v>
      </c>
      <c r="C660" s="11" t="s">
        <v>712</v>
      </c>
    </row>
    <row r="661" spans="1:3">
      <c r="A661" s="10" t="s">
        <v>52</v>
      </c>
      <c r="B661" s="2" t="s">
        <v>1496</v>
      </c>
      <c r="C661" s="11" t="s">
        <v>1497</v>
      </c>
    </row>
    <row r="662" spans="1:3">
      <c r="A662" s="10" t="s">
        <v>52</v>
      </c>
      <c r="B662" s="2" t="s">
        <v>1498</v>
      </c>
      <c r="C662" s="11" t="s">
        <v>1499</v>
      </c>
    </row>
    <row r="663" spans="1:3">
      <c r="A663" s="10" t="s">
        <v>52</v>
      </c>
      <c r="B663" s="2" t="s">
        <v>1500</v>
      </c>
      <c r="C663" s="11" t="s">
        <v>1501</v>
      </c>
    </row>
    <row r="664" spans="1:3">
      <c r="A664" s="10" t="s">
        <v>52</v>
      </c>
      <c r="B664" s="2" t="s">
        <v>1502</v>
      </c>
      <c r="C664" s="11" t="s">
        <v>1503</v>
      </c>
    </row>
    <row r="665" spans="1:3">
      <c r="A665" s="10" t="s">
        <v>52</v>
      </c>
      <c r="B665" s="2" t="s">
        <v>1504</v>
      </c>
      <c r="C665" s="11" t="s">
        <v>1505</v>
      </c>
    </row>
    <row r="666" spans="1:3">
      <c r="A666" s="10" t="s">
        <v>52</v>
      </c>
      <c r="B666" s="2" t="s">
        <v>1506</v>
      </c>
      <c r="C666" s="11" t="s">
        <v>1507</v>
      </c>
    </row>
    <row r="667" spans="1:3">
      <c r="A667" s="10" t="s">
        <v>52</v>
      </c>
      <c r="B667" s="2" t="s">
        <v>1508</v>
      </c>
      <c r="C667" s="11" t="s">
        <v>1509</v>
      </c>
    </row>
    <row r="668" spans="1:3">
      <c r="A668" s="10" t="s">
        <v>52</v>
      </c>
      <c r="B668" s="2" t="s">
        <v>1510</v>
      </c>
      <c r="C668" s="11" t="s">
        <v>1511</v>
      </c>
    </row>
    <row r="669" spans="1:3">
      <c r="A669" s="10" t="s">
        <v>52</v>
      </c>
      <c r="B669" s="2" t="s">
        <v>1512</v>
      </c>
      <c r="C669" s="11" t="s">
        <v>1513</v>
      </c>
    </row>
    <row r="670" spans="1:3">
      <c r="A670" s="10" t="s">
        <v>52</v>
      </c>
      <c r="B670" s="2" t="s">
        <v>1514</v>
      </c>
      <c r="C670" s="11" t="s">
        <v>1515</v>
      </c>
    </row>
    <row r="671" spans="1:3">
      <c r="A671" s="10" t="s">
        <v>52</v>
      </c>
      <c r="B671" s="2" t="s">
        <v>1516</v>
      </c>
      <c r="C671" s="11" t="s">
        <v>1517</v>
      </c>
    </row>
    <row r="672" spans="1:3">
      <c r="A672" s="10" t="s">
        <v>52</v>
      </c>
      <c r="B672" s="2" t="s">
        <v>1518</v>
      </c>
      <c r="C672" s="11" t="s">
        <v>1519</v>
      </c>
    </row>
    <row r="673" spans="1:3">
      <c r="A673" s="10" t="s">
        <v>52</v>
      </c>
      <c r="B673" s="2" t="s">
        <v>1520</v>
      </c>
      <c r="C673" s="11" t="s">
        <v>1521</v>
      </c>
    </row>
    <row r="674" spans="1:3">
      <c r="A674" s="10" t="s">
        <v>52</v>
      </c>
      <c r="B674" s="2" t="s">
        <v>1522</v>
      </c>
      <c r="C674" s="11" t="s">
        <v>1523</v>
      </c>
    </row>
    <row r="675" spans="1:3">
      <c r="A675" s="10" t="s">
        <v>52</v>
      </c>
      <c r="B675" s="2" t="s">
        <v>1524</v>
      </c>
      <c r="C675" s="11" t="s">
        <v>1525</v>
      </c>
    </row>
    <row r="676" spans="1:3">
      <c r="A676" s="10" t="s">
        <v>52</v>
      </c>
      <c r="B676" s="2" t="s">
        <v>1526</v>
      </c>
      <c r="C676" s="11" t="s">
        <v>1527</v>
      </c>
    </row>
    <row r="677" spans="1:3">
      <c r="A677" s="10" t="s">
        <v>52</v>
      </c>
      <c r="B677" s="2" t="s">
        <v>1528</v>
      </c>
      <c r="C677" s="11" t="s">
        <v>1529</v>
      </c>
    </row>
    <row r="678" spans="1:3">
      <c r="A678" s="10" t="s">
        <v>52</v>
      </c>
      <c r="B678" s="2" t="s">
        <v>1530</v>
      </c>
      <c r="C678" s="11" t="s">
        <v>1531</v>
      </c>
    </row>
    <row r="679" spans="1:3">
      <c r="A679" s="10" t="s">
        <v>52</v>
      </c>
      <c r="B679" s="2" t="s">
        <v>1532</v>
      </c>
      <c r="C679" s="11" t="s">
        <v>1533</v>
      </c>
    </row>
    <row r="680" spans="1:3">
      <c r="A680" s="10" t="s">
        <v>52</v>
      </c>
      <c r="B680" s="2" t="s">
        <v>1534</v>
      </c>
      <c r="C680" s="11" t="s">
        <v>1535</v>
      </c>
    </row>
    <row r="681" spans="1:3">
      <c r="A681" s="10" t="s">
        <v>52</v>
      </c>
      <c r="B681" s="2" t="s">
        <v>1536</v>
      </c>
      <c r="C681" s="11" t="s">
        <v>1537</v>
      </c>
    </row>
    <row r="682" spans="1:3">
      <c r="A682" s="10" t="s">
        <v>52</v>
      </c>
      <c r="B682" s="2" t="s">
        <v>1538</v>
      </c>
      <c r="C682" s="11" t="s">
        <v>1539</v>
      </c>
    </row>
    <row r="683" spans="1:3">
      <c r="A683" s="10" t="s">
        <v>52</v>
      </c>
      <c r="B683" s="2" t="s">
        <v>1540</v>
      </c>
      <c r="C683" s="11" t="s">
        <v>1541</v>
      </c>
    </row>
    <row r="684" spans="1:3">
      <c r="A684" s="10" t="s">
        <v>52</v>
      </c>
      <c r="B684" s="2" t="s">
        <v>1542</v>
      </c>
      <c r="C684" s="11" t="s">
        <v>1543</v>
      </c>
    </row>
    <row r="685" spans="1:3">
      <c r="A685" s="10" t="s">
        <v>52</v>
      </c>
      <c r="B685" s="2" t="s">
        <v>1544</v>
      </c>
      <c r="C685" s="11" t="s">
        <v>1545</v>
      </c>
    </row>
    <row r="686" spans="1:3">
      <c r="A686" s="10" t="s">
        <v>52</v>
      </c>
      <c r="B686" s="2" t="s">
        <v>1546</v>
      </c>
      <c r="C686" s="11" t="s">
        <v>1547</v>
      </c>
    </row>
    <row r="687" spans="1:3">
      <c r="A687" s="10" t="s">
        <v>52</v>
      </c>
      <c r="B687" s="2" t="s">
        <v>1548</v>
      </c>
      <c r="C687" s="11" t="s">
        <v>1549</v>
      </c>
    </row>
    <row r="688" spans="1:3">
      <c r="A688" s="10" t="s">
        <v>52</v>
      </c>
      <c r="B688" s="2" t="s">
        <v>1550</v>
      </c>
      <c r="C688" s="11" t="s">
        <v>1551</v>
      </c>
    </row>
    <row r="689" spans="1:3">
      <c r="A689" s="10" t="s">
        <v>52</v>
      </c>
      <c r="B689" s="2" t="s">
        <v>745</v>
      </c>
      <c r="C689" s="11" t="s">
        <v>746</v>
      </c>
    </row>
    <row r="690" spans="1:3">
      <c r="A690" s="10" t="s">
        <v>52</v>
      </c>
      <c r="B690" s="2" t="s">
        <v>1552</v>
      </c>
      <c r="C690" s="11" t="s">
        <v>1553</v>
      </c>
    </row>
    <row r="691" spans="1:3">
      <c r="A691" s="10" t="s">
        <v>52</v>
      </c>
      <c r="B691" s="2" t="s">
        <v>1554</v>
      </c>
      <c r="C691" s="11" t="s">
        <v>1555</v>
      </c>
    </row>
    <row r="692" spans="1:3">
      <c r="A692" s="10" t="s">
        <v>52</v>
      </c>
      <c r="B692" s="2" t="s">
        <v>1556</v>
      </c>
      <c r="C692" s="11" t="s">
        <v>1557</v>
      </c>
    </row>
    <row r="693" spans="1:3">
      <c r="A693" s="10" t="s">
        <v>52</v>
      </c>
      <c r="B693" s="2" t="s">
        <v>1558</v>
      </c>
      <c r="C693" s="11" t="s">
        <v>1559</v>
      </c>
    </row>
    <row r="694" spans="1:3">
      <c r="A694" s="10" t="s">
        <v>52</v>
      </c>
      <c r="B694" s="2" t="s">
        <v>752</v>
      </c>
      <c r="C694" s="11" t="s">
        <v>452</v>
      </c>
    </row>
    <row r="695" spans="1:3">
      <c r="A695" s="10" t="s">
        <v>52</v>
      </c>
      <c r="B695" s="2" t="s">
        <v>1560</v>
      </c>
      <c r="C695" s="11" t="s">
        <v>1561</v>
      </c>
    </row>
    <row r="696" spans="1:3">
      <c r="A696" s="10" t="s">
        <v>52</v>
      </c>
      <c r="B696" s="2" t="s">
        <v>1562</v>
      </c>
      <c r="C696" s="11" t="s">
        <v>1563</v>
      </c>
    </row>
    <row r="697" spans="1:3">
      <c r="A697" s="10" t="s">
        <v>52</v>
      </c>
      <c r="B697" s="2" t="s">
        <v>1564</v>
      </c>
      <c r="C697" s="11" t="s">
        <v>1565</v>
      </c>
    </row>
    <row r="698" spans="1:3">
      <c r="A698" s="10" t="s">
        <v>52</v>
      </c>
      <c r="B698" s="2" t="s">
        <v>1566</v>
      </c>
      <c r="C698" s="11" t="s">
        <v>1567</v>
      </c>
    </row>
    <row r="699" spans="1:3">
      <c r="A699" s="10" t="s">
        <v>52</v>
      </c>
      <c r="B699" s="2" t="s">
        <v>1568</v>
      </c>
      <c r="C699" s="11" t="s">
        <v>1569</v>
      </c>
    </row>
    <row r="700" spans="1:3">
      <c r="A700" s="10" t="s">
        <v>52</v>
      </c>
      <c r="B700" s="2" t="s">
        <v>1570</v>
      </c>
      <c r="C700" s="11" t="s">
        <v>1571</v>
      </c>
    </row>
    <row r="701" spans="1:3">
      <c r="A701" s="10" t="s">
        <v>52</v>
      </c>
      <c r="B701" s="2" t="s">
        <v>760</v>
      </c>
      <c r="C701" s="11" t="s">
        <v>761</v>
      </c>
    </row>
    <row r="702" spans="1:3">
      <c r="A702" s="10" t="s">
        <v>52</v>
      </c>
      <c r="B702" s="2" t="s">
        <v>1572</v>
      </c>
      <c r="C702" s="11" t="s">
        <v>287</v>
      </c>
    </row>
    <row r="703" spans="1:3">
      <c r="A703" s="10" t="s">
        <v>52</v>
      </c>
      <c r="B703" s="2" t="s">
        <v>1573</v>
      </c>
      <c r="C703" s="11" t="s">
        <v>1574</v>
      </c>
    </row>
    <row r="704" spans="1:3">
      <c r="A704" s="10" t="s">
        <v>52</v>
      </c>
      <c r="B704" s="2" t="s">
        <v>1575</v>
      </c>
      <c r="C704" s="11" t="s">
        <v>1576</v>
      </c>
    </row>
    <row r="705" spans="1:3">
      <c r="A705" s="10" t="s">
        <v>52</v>
      </c>
      <c r="B705" s="2" t="s">
        <v>1577</v>
      </c>
      <c r="C705" s="11" t="s">
        <v>1578</v>
      </c>
    </row>
    <row r="706" spans="1:3">
      <c r="A706" s="10" t="s">
        <v>52</v>
      </c>
      <c r="B706" s="2" t="s">
        <v>1579</v>
      </c>
      <c r="C706" s="11" t="s">
        <v>1580</v>
      </c>
    </row>
    <row r="707" spans="1:3">
      <c r="A707" s="10" t="s">
        <v>52</v>
      </c>
      <c r="B707" s="2" t="s">
        <v>1581</v>
      </c>
      <c r="C707" s="11" t="s">
        <v>882</v>
      </c>
    </row>
    <row r="708" spans="1:3">
      <c r="A708" s="10" t="s">
        <v>52</v>
      </c>
      <c r="B708" s="2" t="s">
        <v>1582</v>
      </c>
      <c r="C708" s="11" t="s">
        <v>1583</v>
      </c>
    </row>
    <row r="709" spans="1:3">
      <c r="A709" s="10" t="s">
        <v>52</v>
      </c>
      <c r="B709" s="2" t="s">
        <v>1584</v>
      </c>
      <c r="C709" s="11" t="s">
        <v>1585</v>
      </c>
    </row>
    <row r="710" spans="1:3">
      <c r="A710" s="10" t="s">
        <v>52</v>
      </c>
      <c r="B710" s="2" t="s">
        <v>1586</v>
      </c>
      <c r="C710" s="11" t="s">
        <v>1587</v>
      </c>
    </row>
    <row r="711" spans="1:3">
      <c r="A711" s="10" t="s">
        <v>52</v>
      </c>
      <c r="B711" s="2" t="s">
        <v>1588</v>
      </c>
      <c r="C711" s="11" t="s">
        <v>1589</v>
      </c>
    </row>
    <row r="712" spans="1:3">
      <c r="A712" s="10" t="s">
        <v>52</v>
      </c>
      <c r="B712" s="2" t="s">
        <v>1590</v>
      </c>
      <c r="C712" s="11" t="s">
        <v>1591</v>
      </c>
    </row>
    <row r="713" spans="1:3">
      <c r="A713" s="10" t="s">
        <v>52</v>
      </c>
      <c r="B713" s="2" t="s">
        <v>1592</v>
      </c>
      <c r="C713" s="11" t="s">
        <v>1593</v>
      </c>
    </row>
    <row r="714" spans="1:3">
      <c r="A714" s="10" t="s">
        <v>52</v>
      </c>
      <c r="B714" s="2" t="s">
        <v>1594</v>
      </c>
      <c r="C714" s="11" t="s">
        <v>1595</v>
      </c>
    </row>
    <row r="715" spans="1:3">
      <c r="A715" s="10" t="s">
        <v>52</v>
      </c>
      <c r="B715" s="2" t="s">
        <v>1596</v>
      </c>
      <c r="C715" s="11" t="s">
        <v>1597</v>
      </c>
    </row>
    <row r="716" spans="1:3">
      <c r="A716" s="10" t="s">
        <v>52</v>
      </c>
      <c r="B716" s="2" t="s">
        <v>1598</v>
      </c>
      <c r="C716" s="11" t="s">
        <v>483</v>
      </c>
    </row>
    <row r="717" spans="1:3">
      <c r="A717" s="10" t="s">
        <v>52</v>
      </c>
      <c r="B717" s="2" t="s">
        <v>1599</v>
      </c>
      <c r="C717" s="11" t="s">
        <v>1600</v>
      </c>
    </row>
    <row r="718" spans="1:3">
      <c r="A718" s="10" t="s">
        <v>52</v>
      </c>
      <c r="B718" s="2" t="s">
        <v>1601</v>
      </c>
      <c r="C718" s="11" t="s">
        <v>1602</v>
      </c>
    </row>
    <row r="719" spans="1:3">
      <c r="A719" s="10" t="s">
        <v>52</v>
      </c>
      <c r="B719" s="2" t="s">
        <v>1603</v>
      </c>
      <c r="C719" s="11" t="s">
        <v>1604</v>
      </c>
    </row>
    <row r="720" spans="1:3">
      <c r="A720" s="10" t="s">
        <v>52</v>
      </c>
      <c r="B720" s="2" t="s">
        <v>1605</v>
      </c>
      <c r="C720" s="11" t="s">
        <v>1606</v>
      </c>
    </row>
    <row r="721" spans="1:3">
      <c r="A721" s="10" t="s">
        <v>52</v>
      </c>
      <c r="B721" s="2" t="s">
        <v>1607</v>
      </c>
      <c r="C721" s="11" t="s">
        <v>1608</v>
      </c>
    </row>
    <row r="722" spans="1:3">
      <c r="A722" s="10" t="s">
        <v>52</v>
      </c>
      <c r="B722" s="2" t="s">
        <v>787</v>
      </c>
      <c r="C722" s="11" t="s">
        <v>788</v>
      </c>
    </row>
    <row r="723" spans="1:3">
      <c r="A723" s="10" t="s">
        <v>52</v>
      </c>
      <c r="B723" s="2" t="s">
        <v>1609</v>
      </c>
      <c r="C723" s="11" t="s">
        <v>1610</v>
      </c>
    </row>
    <row r="724" spans="1:3">
      <c r="A724" s="10" t="s">
        <v>52</v>
      </c>
      <c r="B724" s="2" t="s">
        <v>1611</v>
      </c>
      <c r="C724" s="11" t="s">
        <v>1612</v>
      </c>
    </row>
    <row r="725" spans="1:3">
      <c r="A725" s="10" t="s">
        <v>52</v>
      </c>
      <c r="B725" s="2" t="s">
        <v>1613</v>
      </c>
      <c r="C725" s="11" t="s">
        <v>1614</v>
      </c>
    </row>
    <row r="726" spans="1:3">
      <c r="A726" s="10" t="s">
        <v>52</v>
      </c>
      <c r="B726" s="2" t="s">
        <v>1615</v>
      </c>
      <c r="C726" s="11" t="s">
        <v>1616</v>
      </c>
    </row>
    <row r="727" spans="1:3">
      <c r="A727" s="10" t="s">
        <v>52</v>
      </c>
      <c r="B727" s="2" t="s">
        <v>792</v>
      </c>
      <c r="C727" s="11" t="s">
        <v>793</v>
      </c>
    </row>
    <row r="728" spans="1:3">
      <c r="A728" s="10" t="s">
        <v>52</v>
      </c>
      <c r="B728" s="2" t="s">
        <v>794</v>
      </c>
      <c r="C728" s="11" t="s">
        <v>795</v>
      </c>
    </row>
    <row r="729" spans="1:3">
      <c r="A729" s="10" t="s">
        <v>52</v>
      </c>
      <c r="B729" s="2" t="s">
        <v>1617</v>
      </c>
      <c r="C729" s="11" t="s">
        <v>1618</v>
      </c>
    </row>
    <row r="730" spans="1:3">
      <c r="A730" s="10" t="s">
        <v>52</v>
      </c>
      <c r="B730" s="2" t="s">
        <v>1619</v>
      </c>
      <c r="C730" s="11" t="s">
        <v>1620</v>
      </c>
    </row>
    <row r="731" spans="1:3">
      <c r="A731" s="10" t="s">
        <v>52</v>
      </c>
      <c r="B731" s="2" t="s">
        <v>1621</v>
      </c>
      <c r="C731" s="11" t="s">
        <v>1622</v>
      </c>
    </row>
    <row r="732" spans="1:3">
      <c r="A732" s="10" t="s">
        <v>52</v>
      </c>
      <c r="B732" s="2" t="s">
        <v>1623</v>
      </c>
      <c r="C732" s="11" t="s">
        <v>1624</v>
      </c>
    </row>
    <row r="733" spans="1:3">
      <c r="A733" s="10" t="s">
        <v>52</v>
      </c>
      <c r="B733" s="2" t="s">
        <v>1625</v>
      </c>
      <c r="C733" s="11" t="s">
        <v>1626</v>
      </c>
    </row>
    <row r="734" spans="1:3">
      <c r="A734" s="10" t="s">
        <v>52</v>
      </c>
      <c r="B734" s="2" t="s">
        <v>1627</v>
      </c>
      <c r="C734" s="11" t="s">
        <v>1628</v>
      </c>
    </row>
    <row r="735" spans="1:3">
      <c r="A735" s="10" t="s">
        <v>52</v>
      </c>
      <c r="B735" s="2" t="s">
        <v>1629</v>
      </c>
      <c r="C735" s="11" t="s">
        <v>1630</v>
      </c>
    </row>
    <row r="736" spans="1:3">
      <c r="A736" s="10" t="s">
        <v>52</v>
      </c>
      <c r="B736" s="2" t="s">
        <v>1631</v>
      </c>
      <c r="C736" s="11" t="s">
        <v>1632</v>
      </c>
    </row>
    <row r="737" spans="1:3">
      <c r="A737" s="10" t="s">
        <v>52</v>
      </c>
      <c r="B737" s="2" t="s">
        <v>1633</v>
      </c>
      <c r="C737" s="11" t="s">
        <v>1634</v>
      </c>
    </row>
    <row r="738" spans="1:3">
      <c r="A738" s="10" t="s">
        <v>52</v>
      </c>
      <c r="B738" s="2" t="s">
        <v>1635</v>
      </c>
      <c r="C738" s="11" t="s">
        <v>467</v>
      </c>
    </row>
    <row r="739" spans="1:3">
      <c r="A739" s="10" t="s">
        <v>52</v>
      </c>
      <c r="B739" s="2" t="s">
        <v>1636</v>
      </c>
      <c r="C739" s="11" t="s">
        <v>1637</v>
      </c>
    </row>
    <row r="740" spans="1:3">
      <c r="A740" s="10" t="s">
        <v>52</v>
      </c>
      <c r="B740" s="2" t="s">
        <v>1638</v>
      </c>
      <c r="C740" s="11" t="s">
        <v>1639</v>
      </c>
    </row>
    <row r="741" spans="1:3">
      <c r="A741" s="10" t="s">
        <v>52</v>
      </c>
      <c r="B741" s="2" t="s">
        <v>1640</v>
      </c>
      <c r="C741" s="11" t="s">
        <v>1641</v>
      </c>
    </row>
    <row r="742" spans="1:3">
      <c r="A742" s="10" t="s">
        <v>52</v>
      </c>
      <c r="B742" s="2" t="s">
        <v>1642</v>
      </c>
      <c r="C742" s="11" t="s">
        <v>287</v>
      </c>
    </row>
    <row r="743" spans="1:3">
      <c r="A743" s="10" t="s">
        <v>52</v>
      </c>
      <c r="B743" s="2" t="s">
        <v>1643</v>
      </c>
      <c r="C743" s="11" t="s">
        <v>287</v>
      </c>
    </row>
    <row r="744" spans="1:3">
      <c r="A744" s="10" t="s">
        <v>52</v>
      </c>
      <c r="B744" s="2" t="s">
        <v>1644</v>
      </c>
      <c r="C744" s="11" t="s">
        <v>1645</v>
      </c>
    </row>
    <row r="745" spans="1:3">
      <c r="A745" s="10" t="s">
        <v>52</v>
      </c>
      <c r="B745" s="2" t="s">
        <v>1646</v>
      </c>
      <c r="C745" s="11" t="s">
        <v>1647</v>
      </c>
    </row>
    <row r="746" spans="1:3">
      <c r="A746" s="10" t="s">
        <v>52</v>
      </c>
      <c r="B746" s="2" t="s">
        <v>1648</v>
      </c>
      <c r="C746" s="11" t="s">
        <v>1649</v>
      </c>
    </row>
    <row r="747" spans="1:3">
      <c r="A747" s="10" t="s">
        <v>52</v>
      </c>
      <c r="B747" s="2" t="s">
        <v>1650</v>
      </c>
      <c r="C747" s="11" t="s">
        <v>1651</v>
      </c>
    </row>
    <row r="748" spans="1:3">
      <c r="A748" s="10" t="s">
        <v>52</v>
      </c>
      <c r="B748" s="2" t="s">
        <v>1652</v>
      </c>
      <c r="C748" s="11" t="s">
        <v>467</v>
      </c>
    </row>
    <row r="749" spans="1:3">
      <c r="A749" s="10" t="s">
        <v>52</v>
      </c>
      <c r="B749" s="2" t="s">
        <v>1653</v>
      </c>
      <c r="C749" s="11" t="s">
        <v>1654</v>
      </c>
    </row>
    <row r="750" spans="1:3">
      <c r="A750" s="10" t="s">
        <v>52</v>
      </c>
      <c r="B750" s="2" t="s">
        <v>1655</v>
      </c>
      <c r="C750" s="11" t="s">
        <v>1656</v>
      </c>
    </row>
    <row r="751" spans="1:3">
      <c r="A751" s="10" t="s">
        <v>52</v>
      </c>
      <c r="B751" s="2" t="s">
        <v>837</v>
      </c>
      <c r="C751" s="11" t="s">
        <v>838</v>
      </c>
    </row>
    <row r="752" spans="1:3">
      <c r="A752" s="10" t="s">
        <v>52</v>
      </c>
      <c r="B752" s="2" t="s">
        <v>1657</v>
      </c>
      <c r="C752" s="11" t="s">
        <v>1658</v>
      </c>
    </row>
    <row r="753" spans="1:3">
      <c r="A753" s="10" t="s">
        <v>52</v>
      </c>
      <c r="B753" s="2" t="s">
        <v>1659</v>
      </c>
      <c r="C753" s="11" t="s">
        <v>1660</v>
      </c>
    </row>
    <row r="754" spans="1:3">
      <c r="A754" s="10" t="s">
        <v>52</v>
      </c>
      <c r="B754" s="2" t="s">
        <v>1661</v>
      </c>
      <c r="C754" s="11" t="s">
        <v>1662</v>
      </c>
    </row>
    <row r="755" spans="1:3">
      <c r="A755" s="10" t="s">
        <v>52</v>
      </c>
      <c r="B755" s="2" t="s">
        <v>1663</v>
      </c>
      <c r="C755" s="11" t="s">
        <v>1664</v>
      </c>
    </row>
    <row r="756" spans="1:3">
      <c r="A756" s="10" t="s">
        <v>52</v>
      </c>
      <c r="B756" s="2" t="s">
        <v>1665</v>
      </c>
      <c r="C756" s="11" t="s">
        <v>1666</v>
      </c>
    </row>
    <row r="757" spans="1:3">
      <c r="A757" s="10" t="s">
        <v>52</v>
      </c>
      <c r="B757" s="2" t="s">
        <v>1667</v>
      </c>
      <c r="C757" s="11" t="s">
        <v>1668</v>
      </c>
    </row>
    <row r="758" spans="1:3">
      <c r="A758" s="10" t="s">
        <v>52</v>
      </c>
      <c r="B758" s="2" t="s">
        <v>1669</v>
      </c>
      <c r="C758" s="11" t="s">
        <v>483</v>
      </c>
    </row>
    <row r="759" spans="1:3">
      <c r="A759" s="10" t="s">
        <v>52</v>
      </c>
      <c r="B759" s="2" t="s">
        <v>1670</v>
      </c>
      <c r="C759" s="11" t="s">
        <v>1671</v>
      </c>
    </row>
    <row r="760" spans="1:3">
      <c r="A760" s="10" t="s">
        <v>52</v>
      </c>
      <c r="B760" s="2" t="s">
        <v>1672</v>
      </c>
      <c r="C760" s="11" t="s">
        <v>1673</v>
      </c>
    </row>
    <row r="761" spans="1:3">
      <c r="A761" s="10" t="s">
        <v>52</v>
      </c>
      <c r="B761" s="2" t="s">
        <v>1674</v>
      </c>
      <c r="C761" s="11" t="s">
        <v>1675</v>
      </c>
    </row>
    <row r="762" spans="1:3">
      <c r="A762" s="10" t="s">
        <v>52</v>
      </c>
      <c r="B762" s="2" t="s">
        <v>850</v>
      </c>
      <c r="C762" s="11" t="s">
        <v>851</v>
      </c>
    </row>
    <row r="763" spans="1:3">
      <c r="A763" s="10" t="s">
        <v>52</v>
      </c>
      <c r="B763" s="2" t="s">
        <v>1676</v>
      </c>
      <c r="C763" s="11" t="s">
        <v>1677</v>
      </c>
    </row>
    <row r="764" spans="1:3">
      <c r="A764" s="10" t="s">
        <v>52</v>
      </c>
      <c r="B764" s="2" t="s">
        <v>1678</v>
      </c>
      <c r="C764" s="11" t="s">
        <v>1679</v>
      </c>
    </row>
    <row r="765" spans="1:3">
      <c r="A765" s="10" t="s">
        <v>52</v>
      </c>
      <c r="B765" s="2" t="s">
        <v>860</v>
      </c>
      <c r="C765" s="11" t="s">
        <v>861</v>
      </c>
    </row>
    <row r="766" spans="1:3">
      <c r="A766" s="10" t="s">
        <v>52</v>
      </c>
      <c r="B766" s="2" t="s">
        <v>1680</v>
      </c>
      <c r="C766" s="11" t="s">
        <v>1681</v>
      </c>
    </row>
    <row r="767" spans="1:3">
      <c r="A767" s="10" t="s">
        <v>52</v>
      </c>
      <c r="B767" s="2" t="s">
        <v>1682</v>
      </c>
      <c r="C767" s="11" t="s">
        <v>1683</v>
      </c>
    </row>
    <row r="768" spans="1:3">
      <c r="A768" s="10" t="s">
        <v>52</v>
      </c>
      <c r="B768" s="2" t="s">
        <v>1684</v>
      </c>
      <c r="C768" s="11" t="s">
        <v>1685</v>
      </c>
    </row>
    <row r="769" spans="1:3">
      <c r="A769" s="10" t="s">
        <v>52</v>
      </c>
      <c r="B769" s="2" t="s">
        <v>1686</v>
      </c>
      <c r="C769" s="11" t="s">
        <v>1687</v>
      </c>
    </row>
    <row r="770" spans="1:3">
      <c r="A770" s="10" t="s">
        <v>52</v>
      </c>
      <c r="B770" s="2" t="s">
        <v>1688</v>
      </c>
      <c r="C770" s="11" t="s">
        <v>1689</v>
      </c>
    </row>
    <row r="771" spans="1:3">
      <c r="A771" s="10" t="s">
        <v>52</v>
      </c>
      <c r="B771" s="2" t="s">
        <v>1690</v>
      </c>
      <c r="C771" s="11" t="s">
        <v>1691</v>
      </c>
    </row>
    <row r="772" spans="1:3">
      <c r="A772" s="10" t="s">
        <v>52</v>
      </c>
      <c r="B772" s="2" t="s">
        <v>1692</v>
      </c>
      <c r="C772" s="11" t="s">
        <v>1693</v>
      </c>
    </row>
    <row r="773" spans="1:3">
      <c r="A773" s="10" t="s">
        <v>52</v>
      </c>
      <c r="B773" s="2" t="s">
        <v>1694</v>
      </c>
      <c r="C773" s="11" t="s">
        <v>1695</v>
      </c>
    </row>
    <row r="774" spans="1:3">
      <c r="A774" s="10" t="s">
        <v>52</v>
      </c>
      <c r="B774" s="2" t="s">
        <v>874</v>
      </c>
      <c r="C774" s="11" t="s">
        <v>875</v>
      </c>
    </row>
    <row r="775" spans="1:3">
      <c r="A775" s="10" t="s">
        <v>52</v>
      </c>
      <c r="B775" s="2" t="s">
        <v>878</v>
      </c>
      <c r="C775" s="11" t="s">
        <v>823</v>
      </c>
    </row>
    <row r="776" spans="1:3">
      <c r="A776" s="10" t="s">
        <v>52</v>
      </c>
      <c r="B776" s="2" t="s">
        <v>1696</v>
      </c>
      <c r="C776" s="11" t="s">
        <v>1697</v>
      </c>
    </row>
    <row r="777" spans="1:3">
      <c r="A777" s="10" t="s">
        <v>52</v>
      </c>
      <c r="B777" s="2" t="s">
        <v>1698</v>
      </c>
      <c r="C777" s="11" t="s">
        <v>1699</v>
      </c>
    </row>
    <row r="778" spans="1:3">
      <c r="A778" s="10" t="s">
        <v>52</v>
      </c>
      <c r="B778" s="2" t="s">
        <v>1700</v>
      </c>
      <c r="C778" s="11" t="s">
        <v>1701</v>
      </c>
    </row>
    <row r="779" spans="1:3">
      <c r="A779" s="10" t="s">
        <v>52</v>
      </c>
      <c r="B779" s="2" t="s">
        <v>890</v>
      </c>
      <c r="C779" s="11"/>
    </row>
    <row r="780" spans="1:3">
      <c r="A780" s="10" t="s">
        <v>52</v>
      </c>
      <c r="B780" s="2" t="s">
        <v>898</v>
      </c>
      <c r="C780" s="11" t="s">
        <v>467</v>
      </c>
    </row>
    <row r="781" spans="1:3">
      <c r="A781" s="10" t="s">
        <v>52</v>
      </c>
      <c r="B781" s="2" t="s">
        <v>899</v>
      </c>
      <c r="C781" s="11" t="s">
        <v>900</v>
      </c>
    </row>
    <row r="782" spans="1:3">
      <c r="A782" s="10" t="s">
        <v>52</v>
      </c>
      <c r="B782" s="2" t="s">
        <v>1702</v>
      </c>
      <c r="C782" s="11" t="s">
        <v>1703</v>
      </c>
    </row>
    <row r="783" spans="1:3">
      <c r="A783" s="10" t="s">
        <v>52</v>
      </c>
      <c r="B783" s="2" t="s">
        <v>905</v>
      </c>
      <c r="C783" s="11" t="s">
        <v>906</v>
      </c>
    </row>
    <row r="784" spans="1:3">
      <c r="A784" s="10" t="s">
        <v>52</v>
      </c>
      <c r="B784" s="2" t="s">
        <v>1704</v>
      </c>
      <c r="C784" s="11" t="s">
        <v>1705</v>
      </c>
    </row>
    <row r="785" spans="1:3">
      <c r="A785" s="10" t="s">
        <v>52</v>
      </c>
      <c r="B785" s="2" t="s">
        <v>1706</v>
      </c>
      <c r="C785" s="11" t="s">
        <v>1707</v>
      </c>
    </row>
    <row r="786" spans="1:3">
      <c r="A786" s="10" t="s">
        <v>52</v>
      </c>
      <c r="B786" s="2" t="s">
        <v>1708</v>
      </c>
      <c r="C786" s="11" t="s">
        <v>1709</v>
      </c>
    </row>
    <row r="787" spans="1:3">
      <c r="A787" s="10" t="s">
        <v>52</v>
      </c>
      <c r="B787" s="2" t="s">
        <v>1710</v>
      </c>
      <c r="C787" s="11" t="s">
        <v>1711</v>
      </c>
    </row>
    <row r="788" spans="1:3">
      <c r="A788" s="10" t="s">
        <v>52</v>
      </c>
      <c r="B788" s="2" t="s">
        <v>1712</v>
      </c>
      <c r="C788" s="11" t="s">
        <v>1713</v>
      </c>
    </row>
    <row r="789" spans="1:3">
      <c r="A789" s="10" t="s">
        <v>52</v>
      </c>
      <c r="B789" s="2" t="s">
        <v>1714</v>
      </c>
      <c r="C789" s="11" t="s">
        <v>1715</v>
      </c>
    </row>
    <row r="790" spans="1:3">
      <c r="A790" s="10" t="s">
        <v>52</v>
      </c>
      <c r="B790" s="2" t="s">
        <v>1716</v>
      </c>
      <c r="C790" s="11" t="s">
        <v>287</v>
      </c>
    </row>
    <row r="791" spans="1:3">
      <c r="A791" s="10" t="s">
        <v>52</v>
      </c>
      <c r="B791" s="2" t="s">
        <v>1717</v>
      </c>
      <c r="C791" s="11" t="s">
        <v>1718</v>
      </c>
    </row>
    <row r="792" spans="1:3">
      <c r="A792" s="10" t="s">
        <v>52</v>
      </c>
      <c r="B792" s="2" t="s">
        <v>925</v>
      </c>
      <c r="C792" s="11" t="s">
        <v>926</v>
      </c>
    </row>
    <row r="793" spans="1:3">
      <c r="A793" s="10" t="s">
        <v>52</v>
      </c>
      <c r="B793" s="2" t="s">
        <v>1719</v>
      </c>
      <c r="C793" s="11" t="s">
        <v>287</v>
      </c>
    </row>
    <row r="794" spans="1:3">
      <c r="A794" s="10" t="s">
        <v>52</v>
      </c>
      <c r="B794" s="2" t="s">
        <v>1720</v>
      </c>
      <c r="C794" s="11" t="s">
        <v>1721</v>
      </c>
    </row>
    <row r="795" spans="1:3">
      <c r="A795" s="10" t="s">
        <v>52</v>
      </c>
      <c r="B795" s="2" t="s">
        <v>1722</v>
      </c>
      <c r="C795" s="11" t="s">
        <v>1723</v>
      </c>
    </row>
    <row r="796" spans="1:3">
      <c r="A796" s="10" t="s">
        <v>52</v>
      </c>
      <c r="B796" s="2" t="s">
        <v>1724</v>
      </c>
      <c r="C796" s="11" t="s">
        <v>1725</v>
      </c>
    </row>
    <row r="797" spans="1:3">
      <c r="A797" s="10" t="s">
        <v>52</v>
      </c>
      <c r="B797" s="2" t="s">
        <v>1726</v>
      </c>
      <c r="C797" s="11" t="s">
        <v>1727</v>
      </c>
    </row>
    <row r="798" spans="1:3">
      <c r="A798" s="10" t="s">
        <v>52</v>
      </c>
      <c r="B798" s="2" t="s">
        <v>1728</v>
      </c>
      <c r="C798" s="11" t="s">
        <v>1729</v>
      </c>
    </row>
    <row r="799" spans="1:3">
      <c r="A799" s="10" t="s">
        <v>52</v>
      </c>
      <c r="B799" s="2" t="s">
        <v>1730</v>
      </c>
      <c r="C799" s="11" t="s">
        <v>1731</v>
      </c>
    </row>
    <row r="800" spans="1:3">
      <c r="A800" s="10" t="s">
        <v>52</v>
      </c>
      <c r="B800" s="2" t="s">
        <v>1732</v>
      </c>
      <c r="C800" s="11" t="s">
        <v>1733</v>
      </c>
    </row>
    <row r="801" spans="1:3">
      <c r="A801" s="10" t="s">
        <v>52</v>
      </c>
      <c r="B801" s="2" t="s">
        <v>1734</v>
      </c>
      <c r="C801" s="11" t="s">
        <v>1735</v>
      </c>
    </row>
    <row r="802" spans="1:3">
      <c r="A802" s="10" t="s">
        <v>52</v>
      </c>
      <c r="B802" s="2" t="s">
        <v>1736</v>
      </c>
      <c r="C802" s="11" t="s">
        <v>1737</v>
      </c>
    </row>
    <row r="803" spans="1:3">
      <c r="A803" s="10" t="s">
        <v>52</v>
      </c>
      <c r="B803" s="2" t="s">
        <v>1738</v>
      </c>
      <c r="C803" s="11" t="s">
        <v>1739</v>
      </c>
    </row>
    <row r="804" spans="1:3">
      <c r="A804" s="10" t="s">
        <v>52</v>
      </c>
      <c r="B804" s="2" t="s">
        <v>1740</v>
      </c>
      <c r="C804" s="11" t="s">
        <v>1741</v>
      </c>
    </row>
    <row r="805" spans="1:3">
      <c r="A805" s="10" t="s">
        <v>52</v>
      </c>
      <c r="B805" s="2" t="s">
        <v>1742</v>
      </c>
      <c r="C805" s="11" t="s">
        <v>1743</v>
      </c>
    </row>
    <row r="806" spans="1:3">
      <c r="A806" s="10" t="s">
        <v>52</v>
      </c>
      <c r="B806" s="2" t="s">
        <v>1744</v>
      </c>
      <c r="C806" s="11" t="s">
        <v>393</v>
      </c>
    </row>
    <row r="807" spans="1:3">
      <c r="A807" s="10" t="s">
        <v>52</v>
      </c>
      <c r="B807" s="2" t="s">
        <v>1745</v>
      </c>
      <c r="C807" s="11" t="s">
        <v>1746</v>
      </c>
    </row>
    <row r="808" spans="1:3">
      <c r="A808" s="10" t="s">
        <v>52</v>
      </c>
      <c r="B808" s="2" t="s">
        <v>1747</v>
      </c>
      <c r="C808" s="11" t="s">
        <v>1748</v>
      </c>
    </row>
    <row r="809" spans="1:3">
      <c r="A809" s="10" t="s">
        <v>52</v>
      </c>
      <c r="B809" s="2" t="s">
        <v>1749</v>
      </c>
      <c r="C809" s="11" t="s">
        <v>1750</v>
      </c>
    </row>
    <row r="810" spans="1:3">
      <c r="A810" s="10" t="s">
        <v>52</v>
      </c>
      <c r="B810" s="2" t="s">
        <v>1751</v>
      </c>
      <c r="C810" s="11" t="s">
        <v>1752</v>
      </c>
    </row>
    <row r="811" spans="1:3">
      <c r="A811" s="10" t="s">
        <v>52</v>
      </c>
      <c r="B811" s="2" t="s">
        <v>1753</v>
      </c>
      <c r="C811" s="11" t="s">
        <v>1754</v>
      </c>
    </row>
    <row r="812" spans="1:3">
      <c r="A812" s="10" t="s">
        <v>52</v>
      </c>
      <c r="B812" s="2" t="s">
        <v>1755</v>
      </c>
      <c r="C812" s="11" t="s">
        <v>1756</v>
      </c>
    </row>
    <row r="813" spans="1:3">
      <c r="A813" s="10" t="s">
        <v>52</v>
      </c>
      <c r="B813" s="2" t="s">
        <v>1757</v>
      </c>
      <c r="C813" s="11" t="s">
        <v>1758</v>
      </c>
    </row>
    <row r="814" spans="1:3">
      <c r="A814" s="10" t="s">
        <v>52</v>
      </c>
      <c r="B814" s="2" t="s">
        <v>1759</v>
      </c>
      <c r="C814" s="11" t="s">
        <v>1760</v>
      </c>
    </row>
    <row r="815" spans="1:3">
      <c r="A815" s="10" t="s">
        <v>52</v>
      </c>
      <c r="B815" s="2" t="s">
        <v>1761</v>
      </c>
      <c r="C815" s="11" t="s">
        <v>1762</v>
      </c>
    </row>
    <row r="816" spans="1:3">
      <c r="A816" s="10" t="s">
        <v>52</v>
      </c>
      <c r="B816" s="2" t="s">
        <v>943</v>
      </c>
      <c r="C816" s="11" t="s">
        <v>944</v>
      </c>
    </row>
    <row r="817" spans="1:3">
      <c r="A817" s="10" t="s">
        <v>52</v>
      </c>
      <c r="B817" s="2" t="s">
        <v>1763</v>
      </c>
      <c r="C817" s="11" t="s">
        <v>1764</v>
      </c>
    </row>
    <row r="818" spans="1:3">
      <c r="A818" s="10" t="s">
        <v>52</v>
      </c>
      <c r="B818" s="2" t="s">
        <v>945</v>
      </c>
      <c r="C818" s="11" t="s">
        <v>946</v>
      </c>
    </row>
    <row r="819" spans="1:3">
      <c r="A819" s="10" t="s">
        <v>52</v>
      </c>
      <c r="B819" s="2" t="s">
        <v>1765</v>
      </c>
      <c r="C819" s="11" t="s">
        <v>1766</v>
      </c>
    </row>
    <row r="820" spans="1:3">
      <c r="A820" s="10" t="s">
        <v>52</v>
      </c>
      <c r="B820" s="2" t="s">
        <v>1767</v>
      </c>
      <c r="C820" s="11" t="s">
        <v>1768</v>
      </c>
    </row>
    <row r="821" spans="1:3">
      <c r="A821" s="10" t="s">
        <v>52</v>
      </c>
      <c r="B821" s="2" t="s">
        <v>1769</v>
      </c>
      <c r="C821" s="11" t="s">
        <v>1770</v>
      </c>
    </row>
    <row r="822" spans="1:3">
      <c r="A822" s="10" t="s">
        <v>52</v>
      </c>
      <c r="B822" s="2" t="s">
        <v>1771</v>
      </c>
      <c r="C822" s="11" t="s">
        <v>1772</v>
      </c>
    </row>
    <row r="823" spans="1:3">
      <c r="A823" s="10" t="s">
        <v>52</v>
      </c>
      <c r="B823" s="2" t="s">
        <v>1773</v>
      </c>
      <c r="C823" s="11" t="s">
        <v>1774</v>
      </c>
    </row>
    <row r="824" spans="1:3">
      <c r="A824" s="10" t="s">
        <v>52</v>
      </c>
      <c r="B824" s="2" t="s">
        <v>1775</v>
      </c>
      <c r="C824" s="11" t="s">
        <v>1776</v>
      </c>
    </row>
    <row r="825" spans="1:3">
      <c r="A825" s="10" t="s">
        <v>52</v>
      </c>
      <c r="B825" s="2" t="s">
        <v>1777</v>
      </c>
      <c r="C825" s="11" t="s">
        <v>1778</v>
      </c>
    </row>
    <row r="826" spans="1:3">
      <c r="A826" s="10" t="s">
        <v>52</v>
      </c>
      <c r="B826" s="2" t="s">
        <v>1779</v>
      </c>
      <c r="C826" s="11" t="s">
        <v>1780</v>
      </c>
    </row>
    <row r="827" spans="1:3">
      <c r="A827" s="10" t="s">
        <v>52</v>
      </c>
      <c r="B827" s="2" t="s">
        <v>1781</v>
      </c>
      <c r="C827" s="11" t="s">
        <v>1782</v>
      </c>
    </row>
    <row r="828" spans="1:3">
      <c r="A828" s="10" t="s">
        <v>52</v>
      </c>
      <c r="B828" s="2" t="s">
        <v>1783</v>
      </c>
      <c r="C828" s="11" t="s">
        <v>1784</v>
      </c>
    </row>
    <row r="829" spans="1:3">
      <c r="A829" s="10" t="s">
        <v>52</v>
      </c>
      <c r="B829" s="2" t="s">
        <v>1785</v>
      </c>
      <c r="C829" s="11" t="s">
        <v>1786</v>
      </c>
    </row>
    <row r="830" spans="1:3">
      <c r="A830" s="10" t="s">
        <v>52</v>
      </c>
      <c r="B830" s="2" t="s">
        <v>1787</v>
      </c>
      <c r="C830" s="11" t="s">
        <v>1788</v>
      </c>
    </row>
    <row r="831" spans="1:3">
      <c r="A831" s="10" t="s">
        <v>52</v>
      </c>
      <c r="B831" s="2" t="s">
        <v>1789</v>
      </c>
      <c r="C831" s="11" t="s">
        <v>1790</v>
      </c>
    </row>
    <row r="832" spans="1:3">
      <c r="A832" s="10" t="s">
        <v>52</v>
      </c>
      <c r="B832" s="2" t="s">
        <v>1791</v>
      </c>
      <c r="C832" s="11" t="s">
        <v>1792</v>
      </c>
    </row>
    <row r="833" spans="1:3">
      <c r="A833" s="10" t="s">
        <v>52</v>
      </c>
      <c r="B833" s="2" t="s">
        <v>1793</v>
      </c>
      <c r="C833" s="11" t="s">
        <v>1794</v>
      </c>
    </row>
    <row r="834" spans="1:3">
      <c r="A834" s="10" t="s">
        <v>52</v>
      </c>
      <c r="B834" s="2" t="s">
        <v>1795</v>
      </c>
      <c r="C834" s="11" t="s">
        <v>1796</v>
      </c>
    </row>
    <row r="835" spans="1:3">
      <c r="A835" s="10" t="s">
        <v>52</v>
      </c>
      <c r="B835" s="2" t="s">
        <v>1797</v>
      </c>
      <c r="C835" s="11" t="s">
        <v>1798</v>
      </c>
    </row>
    <row r="836" spans="1:3">
      <c r="A836" s="10" t="s">
        <v>52</v>
      </c>
      <c r="B836" s="2" t="s">
        <v>1799</v>
      </c>
      <c r="C836" s="11" t="s">
        <v>1800</v>
      </c>
    </row>
    <row r="837" spans="1:3">
      <c r="A837" s="10" t="s">
        <v>52</v>
      </c>
      <c r="B837" s="2" t="s">
        <v>1801</v>
      </c>
      <c r="C837" s="11" t="s">
        <v>1802</v>
      </c>
    </row>
    <row r="838" spans="1:3">
      <c r="A838" s="10" t="s">
        <v>52</v>
      </c>
      <c r="B838" s="2" t="s">
        <v>1803</v>
      </c>
      <c r="C838" s="11" t="s">
        <v>1804</v>
      </c>
    </row>
    <row r="839" spans="1:3">
      <c r="A839" s="10" t="s">
        <v>52</v>
      </c>
      <c r="B839" s="2" t="s">
        <v>1805</v>
      </c>
      <c r="C839" s="11" t="s">
        <v>1806</v>
      </c>
    </row>
    <row r="840" spans="1:3">
      <c r="A840" s="10" t="s">
        <v>52</v>
      </c>
      <c r="B840" s="2" t="s">
        <v>990</v>
      </c>
      <c r="C840" s="11" t="s">
        <v>991</v>
      </c>
    </row>
    <row r="841" spans="1:3">
      <c r="A841" s="10" t="s">
        <v>52</v>
      </c>
      <c r="B841" s="2" t="s">
        <v>1807</v>
      </c>
      <c r="C841" s="11" t="s">
        <v>1808</v>
      </c>
    </row>
    <row r="842" spans="1:3">
      <c r="A842" s="10" t="s">
        <v>52</v>
      </c>
      <c r="B842" s="2" t="s">
        <v>1809</v>
      </c>
      <c r="C842" s="11" t="s">
        <v>1810</v>
      </c>
    </row>
    <row r="843" spans="1:3">
      <c r="A843" s="10" t="s">
        <v>52</v>
      </c>
      <c r="B843" s="2" t="s">
        <v>1811</v>
      </c>
      <c r="C843" s="11" t="s">
        <v>287</v>
      </c>
    </row>
    <row r="844" spans="1:3">
      <c r="A844" s="10" t="s">
        <v>52</v>
      </c>
      <c r="B844" s="2" t="s">
        <v>1812</v>
      </c>
      <c r="C844" s="11" t="s">
        <v>1813</v>
      </c>
    </row>
    <row r="845" spans="1:3">
      <c r="A845" s="10" t="s">
        <v>52</v>
      </c>
      <c r="B845" s="2" t="s">
        <v>1814</v>
      </c>
      <c r="C845" s="11" t="s">
        <v>1815</v>
      </c>
    </row>
    <row r="846" spans="1:3">
      <c r="A846" s="10" t="s">
        <v>52</v>
      </c>
      <c r="B846" s="2" t="s">
        <v>1004</v>
      </c>
      <c r="C846" s="11" t="s">
        <v>1005</v>
      </c>
    </row>
    <row r="847" spans="1:3">
      <c r="A847" s="10" t="s">
        <v>52</v>
      </c>
      <c r="B847" s="2" t="s">
        <v>1816</v>
      </c>
      <c r="C847" s="11" t="s">
        <v>1817</v>
      </c>
    </row>
    <row r="848" spans="1:3">
      <c r="A848" s="10" t="s">
        <v>52</v>
      </c>
      <c r="B848" s="2" t="s">
        <v>1818</v>
      </c>
      <c r="C848" s="11" t="s">
        <v>1819</v>
      </c>
    </row>
    <row r="849" spans="1:3">
      <c r="A849" s="10" t="s">
        <v>52</v>
      </c>
      <c r="B849" s="2" t="s">
        <v>1820</v>
      </c>
      <c r="C849" s="11" t="s">
        <v>1819</v>
      </c>
    </row>
    <row r="850" spans="1:3">
      <c r="A850" s="10" t="s">
        <v>52</v>
      </c>
      <c r="B850" s="2" t="s">
        <v>1821</v>
      </c>
      <c r="C850" s="11" t="s">
        <v>1822</v>
      </c>
    </row>
    <row r="851" spans="1:3">
      <c r="A851" s="10" t="s">
        <v>52</v>
      </c>
      <c r="B851" s="2" t="s">
        <v>1823</v>
      </c>
      <c r="C851" s="11" t="s">
        <v>1824</v>
      </c>
    </row>
    <row r="852" spans="1:3">
      <c r="A852" s="10" t="s">
        <v>52</v>
      </c>
      <c r="B852" s="2" t="s">
        <v>1825</v>
      </c>
      <c r="C852" s="11" t="s">
        <v>1826</v>
      </c>
    </row>
    <row r="853" spans="1:3">
      <c r="A853" s="10" t="s">
        <v>52</v>
      </c>
      <c r="B853" s="2" t="s">
        <v>1827</v>
      </c>
      <c r="C853" s="11" t="s">
        <v>1828</v>
      </c>
    </row>
    <row r="854" spans="1:3">
      <c r="A854" s="10" t="s">
        <v>52</v>
      </c>
      <c r="B854" s="2" t="s">
        <v>1829</v>
      </c>
      <c r="C854" s="11" t="s">
        <v>1830</v>
      </c>
    </row>
    <row r="855" spans="1:3">
      <c r="A855" s="10" t="s">
        <v>52</v>
      </c>
      <c r="B855" s="2" t="s">
        <v>1831</v>
      </c>
      <c r="C855" s="11" t="s">
        <v>1832</v>
      </c>
    </row>
    <row r="856" spans="1:3">
      <c r="A856" s="10" t="s">
        <v>52</v>
      </c>
      <c r="B856" s="2" t="s">
        <v>1833</v>
      </c>
      <c r="C856" s="11" t="s">
        <v>1834</v>
      </c>
    </row>
    <row r="857" spans="1:3">
      <c r="A857" s="10" t="s">
        <v>52</v>
      </c>
      <c r="B857" s="2" t="s">
        <v>1835</v>
      </c>
      <c r="C857" s="11" t="s">
        <v>1836</v>
      </c>
    </row>
    <row r="858" spans="1:3">
      <c r="A858" s="10" t="s">
        <v>52</v>
      </c>
      <c r="B858" s="2" t="s">
        <v>1837</v>
      </c>
      <c r="C858" s="11" t="s">
        <v>477</v>
      </c>
    </row>
    <row r="859" spans="1:3">
      <c r="A859" s="10" t="s">
        <v>52</v>
      </c>
      <c r="B859" s="2" t="s">
        <v>1838</v>
      </c>
      <c r="C859" s="11" t="s">
        <v>1839</v>
      </c>
    </row>
    <row r="860" spans="1:3">
      <c r="A860" s="10" t="s">
        <v>52</v>
      </c>
      <c r="B860" s="2" t="s">
        <v>1840</v>
      </c>
      <c r="C860" s="11" t="s">
        <v>1841</v>
      </c>
    </row>
    <row r="861" spans="1:3">
      <c r="A861" s="10" t="s">
        <v>52</v>
      </c>
      <c r="B861" s="2" t="s">
        <v>1842</v>
      </c>
      <c r="C861" s="11" t="s">
        <v>1843</v>
      </c>
    </row>
    <row r="862" spans="1:3">
      <c r="A862" s="10" t="s">
        <v>52</v>
      </c>
      <c r="B862" s="2" t="s">
        <v>1844</v>
      </c>
      <c r="C862" s="11" t="s">
        <v>1845</v>
      </c>
    </row>
    <row r="863" spans="1:3">
      <c r="A863" s="10" t="s">
        <v>52</v>
      </c>
      <c r="B863" s="2" t="s">
        <v>1846</v>
      </c>
      <c r="C863" s="11" t="s">
        <v>1847</v>
      </c>
    </row>
    <row r="864" spans="1:3">
      <c r="A864" s="10" t="s">
        <v>52</v>
      </c>
      <c r="B864" s="2" t="s">
        <v>1848</v>
      </c>
      <c r="C864" s="11" t="s">
        <v>1849</v>
      </c>
    </row>
    <row r="865" spans="1:3">
      <c r="A865" s="10" t="s">
        <v>52</v>
      </c>
      <c r="B865" s="2" t="s">
        <v>1850</v>
      </c>
      <c r="C865" s="11" t="s">
        <v>1851</v>
      </c>
    </row>
    <row r="866" spans="1:3">
      <c r="A866" s="10" t="s">
        <v>52</v>
      </c>
      <c r="B866" s="2" t="s">
        <v>1042</v>
      </c>
      <c r="C866" s="11" t="s">
        <v>1043</v>
      </c>
    </row>
    <row r="867" spans="1:3">
      <c r="A867" s="10" t="s">
        <v>52</v>
      </c>
      <c r="B867" s="2" t="s">
        <v>1852</v>
      </c>
      <c r="C867" s="11" t="s">
        <v>1853</v>
      </c>
    </row>
    <row r="868" spans="1:3">
      <c r="A868" s="10" t="s">
        <v>52</v>
      </c>
      <c r="B868" s="2" t="s">
        <v>1044</v>
      </c>
      <c r="C868" s="11" t="s">
        <v>401</v>
      </c>
    </row>
    <row r="869" spans="1:3">
      <c r="A869" s="10" t="s">
        <v>52</v>
      </c>
      <c r="B869" s="2" t="s">
        <v>1045</v>
      </c>
      <c r="C869" s="11" t="s">
        <v>1046</v>
      </c>
    </row>
    <row r="870" spans="1:3">
      <c r="A870" s="10" t="s">
        <v>52</v>
      </c>
      <c r="B870" s="2" t="s">
        <v>1047</v>
      </c>
      <c r="C870" s="11" t="s">
        <v>1048</v>
      </c>
    </row>
    <row r="871" spans="1:3">
      <c r="A871" s="10" t="s">
        <v>52</v>
      </c>
      <c r="B871" s="2" t="s">
        <v>1854</v>
      </c>
      <c r="C871" s="11" t="s">
        <v>1855</v>
      </c>
    </row>
    <row r="872" spans="1:3">
      <c r="A872" s="10" t="s">
        <v>52</v>
      </c>
      <c r="B872" s="2" t="s">
        <v>1856</v>
      </c>
      <c r="C872" s="11" t="s">
        <v>1857</v>
      </c>
    </row>
    <row r="873" spans="1:3">
      <c r="A873" s="10" t="s">
        <v>52</v>
      </c>
      <c r="B873" s="2" t="s">
        <v>1055</v>
      </c>
      <c r="C873" s="11" t="s">
        <v>1056</v>
      </c>
    </row>
    <row r="874" spans="1:3">
      <c r="A874" s="10" t="s">
        <v>52</v>
      </c>
      <c r="B874" s="2" t="s">
        <v>1858</v>
      </c>
      <c r="C874" s="11" t="s">
        <v>1859</v>
      </c>
    </row>
    <row r="875" spans="1:3">
      <c r="A875" s="10" t="s">
        <v>52</v>
      </c>
      <c r="B875" s="2" t="s">
        <v>1860</v>
      </c>
      <c r="C875" s="11" t="s">
        <v>1861</v>
      </c>
    </row>
    <row r="876" spans="1:3">
      <c r="A876" s="10" t="s">
        <v>52</v>
      </c>
      <c r="B876" s="2" t="s">
        <v>1862</v>
      </c>
      <c r="C876" s="11" t="s">
        <v>1863</v>
      </c>
    </row>
    <row r="877" spans="1:3">
      <c r="A877" s="10" t="s">
        <v>52</v>
      </c>
      <c r="B877" s="2" t="s">
        <v>1864</v>
      </c>
      <c r="C877" s="11" t="s">
        <v>1865</v>
      </c>
    </row>
    <row r="878" spans="1:3">
      <c r="A878" s="10" t="s">
        <v>52</v>
      </c>
      <c r="B878" s="2" t="s">
        <v>1866</v>
      </c>
      <c r="C878" s="11" t="s">
        <v>1867</v>
      </c>
    </row>
    <row r="879" spans="1:3">
      <c r="A879" s="10" t="s">
        <v>52</v>
      </c>
      <c r="B879" s="2" t="s">
        <v>1868</v>
      </c>
      <c r="C879" s="11" t="s">
        <v>1869</v>
      </c>
    </row>
    <row r="880" spans="1:3">
      <c r="A880" s="10" t="s">
        <v>52</v>
      </c>
      <c r="B880" s="2" t="s">
        <v>1870</v>
      </c>
      <c r="C880" s="11" t="s">
        <v>1871</v>
      </c>
    </row>
    <row r="881" spans="1:3">
      <c r="A881" s="10" t="s">
        <v>52</v>
      </c>
      <c r="B881" s="2" t="s">
        <v>1872</v>
      </c>
      <c r="C881" s="11" t="s">
        <v>1873</v>
      </c>
    </row>
    <row r="882" spans="1:3">
      <c r="A882" s="10" t="s">
        <v>52</v>
      </c>
      <c r="B882" s="2" t="s">
        <v>1874</v>
      </c>
      <c r="C882" s="11" t="s">
        <v>1875</v>
      </c>
    </row>
    <row r="883" spans="1:3">
      <c r="A883" s="10" t="s">
        <v>52</v>
      </c>
      <c r="B883" s="2" t="s">
        <v>1876</v>
      </c>
      <c r="C883" s="11" t="s">
        <v>1877</v>
      </c>
    </row>
    <row r="884" spans="1:3">
      <c r="A884" s="10" t="s">
        <v>52</v>
      </c>
      <c r="B884" s="2" t="s">
        <v>1878</v>
      </c>
      <c r="C884" s="11" t="s">
        <v>722</v>
      </c>
    </row>
    <row r="885" spans="1:3">
      <c r="A885" s="10" t="s">
        <v>52</v>
      </c>
      <c r="B885" s="2" t="s">
        <v>1879</v>
      </c>
      <c r="C885" s="11" t="s">
        <v>1880</v>
      </c>
    </row>
    <row r="886" spans="1:3">
      <c r="A886" s="10" t="s">
        <v>52</v>
      </c>
      <c r="B886" s="2" t="s">
        <v>1881</v>
      </c>
      <c r="C886" s="11" t="s">
        <v>483</v>
      </c>
    </row>
    <row r="887" spans="1:3">
      <c r="A887" s="10" t="s">
        <v>52</v>
      </c>
      <c r="B887" s="2" t="s">
        <v>1882</v>
      </c>
      <c r="C887" s="11" t="s">
        <v>1883</v>
      </c>
    </row>
    <row r="888" spans="1:3">
      <c r="A888" s="10" t="s">
        <v>52</v>
      </c>
      <c r="B888" s="2" t="s">
        <v>1884</v>
      </c>
      <c r="C888" s="11" t="s">
        <v>1885</v>
      </c>
    </row>
    <row r="889" spans="1:3">
      <c r="A889" s="10" t="s">
        <v>52</v>
      </c>
      <c r="B889" s="2" t="s">
        <v>1089</v>
      </c>
      <c r="C889" s="11" t="s">
        <v>1074</v>
      </c>
    </row>
    <row r="890" spans="1:3">
      <c r="A890" s="10" t="s">
        <v>52</v>
      </c>
      <c r="B890" s="2" t="s">
        <v>1886</v>
      </c>
      <c r="C890" s="11" t="s">
        <v>1887</v>
      </c>
    </row>
    <row r="891" spans="1:3">
      <c r="A891" s="10" t="s">
        <v>52</v>
      </c>
      <c r="B891" s="2" t="s">
        <v>1888</v>
      </c>
      <c r="C891" s="11" t="s">
        <v>1889</v>
      </c>
    </row>
    <row r="892" spans="1:3">
      <c r="A892" s="10" t="s">
        <v>52</v>
      </c>
      <c r="B892" s="2" t="s">
        <v>1890</v>
      </c>
      <c r="C892" s="11" t="s">
        <v>1891</v>
      </c>
    </row>
    <row r="893" spans="1:3">
      <c r="A893" s="10" t="s">
        <v>52</v>
      </c>
      <c r="B893" s="2" t="s">
        <v>1892</v>
      </c>
      <c r="C893" s="11" t="s">
        <v>1893</v>
      </c>
    </row>
    <row r="894" spans="1:3">
      <c r="A894" s="10" t="s">
        <v>52</v>
      </c>
      <c r="B894" s="2" t="s">
        <v>1894</v>
      </c>
      <c r="C894" s="11" t="s">
        <v>1895</v>
      </c>
    </row>
    <row r="895" spans="1:3">
      <c r="A895" s="10" t="s">
        <v>52</v>
      </c>
      <c r="B895" s="2" t="s">
        <v>1896</v>
      </c>
      <c r="C895" s="11" t="s">
        <v>1897</v>
      </c>
    </row>
    <row r="896" spans="1:3">
      <c r="A896" s="10" t="s">
        <v>52</v>
      </c>
      <c r="B896" s="2" t="s">
        <v>1898</v>
      </c>
      <c r="C896" s="11" t="s">
        <v>1899</v>
      </c>
    </row>
    <row r="897" spans="1:3">
      <c r="A897" s="10" t="s">
        <v>52</v>
      </c>
      <c r="B897" s="2" t="s">
        <v>1106</v>
      </c>
      <c r="C897" s="11" t="s">
        <v>1107</v>
      </c>
    </row>
    <row r="898" spans="1:3">
      <c r="A898" s="10" t="s">
        <v>52</v>
      </c>
      <c r="B898" s="2" t="s">
        <v>1900</v>
      </c>
      <c r="C898" s="11" t="s">
        <v>1901</v>
      </c>
    </row>
    <row r="899" spans="1:3">
      <c r="A899" s="10" t="s">
        <v>52</v>
      </c>
      <c r="B899" s="2" t="s">
        <v>1902</v>
      </c>
      <c r="C899" s="11" t="s">
        <v>1903</v>
      </c>
    </row>
    <row r="900" spans="1:3">
      <c r="A900" s="10" t="s">
        <v>52</v>
      </c>
      <c r="B900" s="2" t="s">
        <v>1110</v>
      </c>
      <c r="C900" s="11" t="s">
        <v>1111</v>
      </c>
    </row>
    <row r="901" spans="1:3">
      <c r="A901" s="10" t="s">
        <v>52</v>
      </c>
      <c r="B901" s="2" t="s">
        <v>1904</v>
      </c>
      <c r="C901" s="11" t="s">
        <v>1905</v>
      </c>
    </row>
    <row r="902" spans="1:3">
      <c r="A902" s="10" t="s">
        <v>52</v>
      </c>
      <c r="B902" s="2" t="s">
        <v>1117</v>
      </c>
      <c r="C902" s="11" t="s">
        <v>1118</v>
      </c>
    </row>
    <row r="903" spans="1:3">
      <c r="A903" s="10" t="s">
        <v>52</v>
      </c>
      <c r="B903" s="2" t="s">
        <v>1906</v>
      </c>
      <c r="C903" s="11" t="s">
        <v>1907</v>
      </c>
    </row>
    <row r="904" spans="1:3">
      <c r="A904" s="10" t="s">
        <v>52</v>
      </c>
      <c r="B904" s="2" t="s">
        <v>1121</v>
      </c>
      <c r="C904" s="11" t="s">
        <v>1122</v>
      </c>
    </row>
    <row r="905" spans="1:3">
      <c r="A905" s="10" t="s">
        <v>85</v>
      </c>
      <c r="B905" s="2" t="s">
        <v>1908</v>
      </c>
      <c r="C905" s="11" t="s">
        <v>1909</v>
      </c>
    </row>
    <row r="906" spans="1:3">
      <c r="A906" s="10" t="s">
        <v>85</v>
      </c>
      <c r="B906" s="2" t="s">
        <v>1910</v>
      </c>
      <c r="C906" s="11" t="s">
        <v>1911</v>
      </c>
    </row>
    <row r="907" spans="1:3">
      <c r="A907" s="10" t="s">
        <v>85</v>
      </c>
      <c r="B907" s="2" t="s">
        <v>286</v>
      </c>
      <c r="C907" s="11" t="s">
        <v>287</v>
      </c>
    </row>
    <row r="908" spans="1:3">
      <c r="A908" s="10" t="s">
        <v>85</v>
      </c>
      <c r="B908" s="2" t="s">
        <v>288</v>
      </c>
      <c r="C908" s="11" t="s">
        <v>289</v>
      </c>
    </row>
    <row r="909" spans="1:3">
      <c r="A909" s="10" t="s">
        <v>85</v>
      </c>
      <c r="B909" s="2" t="s">
        <v>1912</v>
      </c>
      <c r="C909" s="11" t="s">
        <v>1913</v>
      </c>
    </row>
    <row r="910" spans="1:3">
      <c r="A910" s="10" t="s">
        <v>85</v>
      </c>
      <c r="B910" s="2" t="s">
        <v>1914</v>
      </c>
      <c r="C910" s="11" t="s">
        <v>1915</v>
      </c>
    </row>
    <row r="911" spans="1:3">
      <c r="A911" s="10" t="s">
        <v>85</v>
      </c>
      <c r="B911" s="2" t="s">
        <v>1129</v>
      </c>
      <c r="C911" s="11" t="s">
        <v>1130</v>
      </c>
    </row>
    <row r="912" spans="1:3">
      <c r="A912" s="10" t="s">
        <v>85</v>
      </c>
      <c r="B912" s="2" t="s">
        <v>1916</v>
      </c>
      <c r="C912" s="11" t="s">
        <v>1917</v>
      </c>
    </row>
    <row r="913" spans="1:3">
      <c r="A913" s="10" t="s">
        <v>85</v>
      </c>
      <c r="B913" s="2" t="s">
        <v>1918</v>
      </c>
      <c r="C913" s="11" t="s">
        <v>1919</v>
      </c>
    </row>
    <row r="914" spans="1:3">
      <c r="A914" s="10" t="s">
        <v>85</v>
      </c>
      <c r="B914" s="2" t="s">
        <v>1920</v>
      </c>
      <c r="C914" s="11" t="s">
        <v>1921</v>
      </c>
    </row>
    <row r="915" spans="1:3">
      <c r="A915" s="10" t="s">
        <v>85</v>
      </c>
      <c r="B915" s="2" t="s">
        <v>1922</v>
      </c>
      <c r="C915" s="11" t="s">
        <v>1923</v>
      </c>
    </row>
    <row r="916" spans="1:3">
      <c r="A916" s="10" t="s">
        <v>85</v>
      </c>
      <c r="B916" s="2" t="s">
        <v>1924</v>
      </c>
      <c r="C916" s="11" t="s">
        <v>1925</v>
      </c>
    </row>
    <row r="917" spans="1:3">
      <c r="A917" s="10" t="s">
        <v>85</v>
      </c>
      <c r="B917" s="2" t="s">
        <v>1926</v>
      </c>
      <c r="C917" s="11" t="s">
        <v>1927</v>
      </c>
    </row>
    <row r="918" spans="1:3">
      <c r="A918" s="10" t="s">
        <v>85</v>
      </c>
      <c r="B918" s="2" t="s">
        <v>1928</v>
      </c>
      <c r="C918" s="11" t="s">
        <v>1929</v>
      </c>
    </row>
    <row r="919" spans="1:3">
      <c r="A919" s="10" t="s">
        <v>85</v>
      </c>
      <c r="B919" s="2" t="s">
        <v>1930</v>
      </c>
      <c r="C919" s="11" t="s">
        <v>1931</v>
      </c>
    </row>
    <row r="920" spans="1:3">
      <c r="A920" s="10" t="s">
        <v>85</v>
      </c>
      <c r="B920" s="2" t="s">
        <v>1932</v>
      </c>
      <c r="C920" s="11" t="s">
        <v>1933</v>
      </c>
    </row>
    <row r="921" spans="1:3">
      <c r="A921" s="10" t="s">
        <v>85</v>
      </c>
      <c r="B921" s="2" t="s">
        <v>1139</v>
      </c>
      <c r="C921" s="11" t="s">
        <v>1140</v>
      </c>
    </row>
    <row r="922" spans="1:3">
      <c r="A922" s="10" t="s">
        <v>85</v>
      </c>
      <c r="B922" s="2" t="s">
        <v>1934</v>
      </c>
      <c r="C922" s="11" t="s">
        <v>1935</v>
      </c>
    </row>
    <row r="923" spans="1:3">
      <c r="A923" s="10" t="s">
        <v>85</v>
      </c>
      <c r="B923" s="2" t="s">
        <v>1936</v>
      </c>
      <c r="C923" s="11" t="s">
        <v>483</v>
      </c>
    </row>
    <row r="924" spans="1:3">
      <c r="A924" s="10" t="s">
        <v>85</v>
      </c>
      <c r="B924" s="2" t="s">
        <v>1937</v>
      </c>
      <c r="C924" s="11" t="s">
        <v>1938</v>
      </c>
    </row>
    <row r="925" spans="1:3">
      <c r="A925" s="10" t="s">
        <v>85</v>
      </c>
      <c r="B925" s="2" t="s">
        <v>1142</v>
      </c>
      <c r="C925" s="11" t="s">
        <v>1143</v>
      </c>
    </row>
    <row r="926" spans="1:3">
      <c r="A926" s="10" t="s">
        <v>85</v>
      </c>
      <c r="B926" s="2" t="s">
        <v>1939</v>
      </c>
      <c r="C926" s="11" t="s">
        <v>1940</v>
      </c>
    </row>
    <row r="927" spans="1:3">
      <c r="A927" s="10" t="s">
        <v>85</v>
      </c>
      <c r="B927" s="2" t="s">
        <v>1941</v>
      </c>
      <c r="C927" s="11" t="s">
        <v>1942</v>
      </c>
    </row>
    <row r="928" spans="1:3">
      <c r="A928" s="10" t="s">
        <v>85</v>
      </c>
      <c r="B928" s="2" t="s">
        <v>1943</v>
      </c>
      <c r="C928" s="11" t="s">
        <v>1944</v>
      </c>
    </row>
    <row r="929" spans="1:3">
      <c r="A929" s="10" t="s">
        <v>85</v>
      </c>
      <c r="B929" s="2" t="s">
        <v>1945</v>
      </c>
      <c r="C929" s="11" t="s">
        <v>1946</v>
      </c>
    </row>
    <row r="930" spans="1:3">
      <c r="A930" s="10" t="s">
        <v>85</v>
      </c>
      <c r="B930" s="2" t="s">
        <v>1947</v>
      </c>
      <c r="C930" s="11" t="s">
        <v>1948</v>
      </c>
    </row>
    <row r="931" spans="1:3">
      <c r="A931" s="10" t="s">
        <v>85</v>
      </c>
      <c r="B931" s="2" t="s">
        <v>1150</v>
      </c>
      <c r="C931" s="11" t="s">
        <v>1151</v>
      </c>
    </row>
    <row r="932" spans="1:3">
      <c r="A932" s="10" t="s">
        <v>85</v>
      </c>
      <c r="B932" s="2" t="s">
        <v>1949</v>
      </c>
      <c r="C932" s="11" t="s">
        <v>1950</v>
      </c>
    </row>
    <row r="933" spans="1:3">
      <c r="A933" s="10" t="s">
        <v>85</v>
      </c>
      <c r="B933" s="2" t="s">
        <v>1951</v>
      </c>
      <c r="C933" s="11" t="s">
        <v>1952</v>
      </c>
    </row>
    <row r="934" spans="1:3">
      <c r="A934" s="10" t="s">
        <v>85</v>
      </c>
      <c r="B934" s="2" t="s">
        <v>1953</v>
      </c>
      <c r="C934" s="11" t="s">
        <v>1954</v>
      </c>
    </row>
    <row r="935" spans="1:3">
      <c r="A935" s="10" t="s">
        <v>85</v>
      </c>
      <c r="B935" s="2" t="s">
        <v>1955</v>
      </c>
      <c r="C935" s="11" t="s">
        <v>483</v>
      </c>
    </row>
    <row r="936" spans="1:3">
      <c r="A936" s="10" t="s">
        <v>85</v>
      </c>
      <c r="B936" s="2" t="s">
        <v>1956</v>
      </c>
      <c r="C936" s="11" t="s">
        <v>1957</v>
      </c>
    </row>
    <row r="937" spans="1:3">
      <c r="A937" s="10" t="s">
        <v>85</v>
      </c>
      <c r="B937" s="2" t="s">
        <v>308</v>
      </c>
      <c r="C937" s="11" t="s">
        <v>309</v>
      </c>
    </row>
    <row r="938" spans="1:3">
      <c r="A938" s="10" t="s">
        <v>85</v>
      </c>
      <c r="B938" s="2" t="s">
        <v>1958</v>
      </c>
      <c r="C938" s="11" t="s">
        <v>1959</v>
      </c>
    </row>
    <row r="939" spans="1:3">
      <c r="A939" s="10" t="s">
        <v>85</v>
      </c>
      <c r="B939" s="2" t="s">
        <v>1960</v>
      </c>
      <c r="C939" s="11" t="s">
        <v>1961</v>
      </c>
    </row>
    <row r="940" spans="1:3">
      <c r="A940" s="10" t="s">
        <v>85</v>
      </c>
      <c r="B940" s="2" t="s">
        <v>1962</v>
      </c>
      <c r="C940" s="11" t="s">
        <v>1963</v>
      </c>
    </row>
    <row r="941" spans="1:3">
      <c r="A941" s="10" t="s">
        <v>85</v>
      </c>
      <c r="B941" s="2" t="s">
        <v>1964</v>
      </c>
      <c r="C941" s="11" t="s">
        <v>1965</v>
      </c>
    </row>
    <row r="942" spans="1:3">
      <c r="A942" s="10" t="s">
        <v>85</v>
      </c>
      <c r="B942" s="2" t="s">
        <v>1966</v>
      </c>
      <c r="C942" s="11" t="s">
        <v>1967</v>
      </c>
    </row>
    <row r="943" spans="1:3">
      <c r="A943" s="10" t="s">
        <v>85</v>
      </c>
      <c r="B943" s="2" t="s">
        <v>1162</v>
      </c>
      <c r="C943" s="11" t="s">
        <v>1163</v>
      </c>
    </row>
    <row r="944" spans="1:3">
      <c r="A944" s="10" t="s">
        <v>85</v>
      </c>
      <c r="B944" s="2" t="s">
        <v>1968</v>
      </c>
      <c r="C944" s="11" t="s">
        <v>1969</v>
      </c>
    </row>
    <row r="945" spans="1:3">
      <c r="A945" s="10" t="s">
        <v>85</v>
      </c>
      <c r="B945" s="2" t="s">
        <v>1164</v>
      </c>
      <c r="C945" s="11" t="s">
        <v>1165</v>
      </c>
    </row>
    <row r="946" spans="1:3">
      <c r="A946" s="10" t="s">
        <v>85</v>
      </c>
      <c r="B946" s="2" t="s">
        <v>316</v>
      </c>
      <c r="C946" s="11" t="s">
        <v>317</v>
      </c>
    </row>
    <row r="947" spans="1:3">
      <c r="A947" s="10" t="s">
        <v>85</v>
      </c>
      <c r="B947" s="2" t="s">
        <v>1970</v>
      </c>
      <c r="C947" s="11" t="s">
        <v>1971</v>
      </c>
    </row>
    <row r="948" spans="1:3">
      <c r="A948" s="10" t="s">
        <v>85</v>
      </c>
      <c r="B948" s="2" t="s">
        <v>318</v>
      </c>
      <c r="C948" s="11" t="s">
        <v>319</v>
      </c>
    </row>
    <row r="949" spans="1:3">
      <c r="A949" s="10" t="s">
        <v>85</v>
      </c>
      <c r="B949" s="2" t="s">
        <v>1972</v>
      </c>
      <c r="C949" s="11" t="s">
        <v>1973</v>
      </c>
    </row>
    <row r="950" spans="1:3">
      <c r="A950" s="10" t="s">
        <v>85</v>
      </c>
      <c r="B950" s="2" t="s">
        <v>1974</v>
      </c>
      <c r="C950" s="11" t="s">
        <v>1975</v>
      </c>
    </row>
    <row r="951" spans="1:3">
      <c r="A951" s="10" t="s">
        <v>85</v>
      </c>
      <c r="B951" s="2" t="s">
        <v>1976</v>
      </c>
      <c r="C951" s="11" t="s">
        <v>1977</v>
      </c>
    </row>
    <row r="952" spans="1:3">
      <c r="A952" s="10" t="s">
        <v>85</v>
      </c>
      <c r="B952" s="2" t="s">
        <v>1978</v>
      </c>
      <c r="C952" s="11" t="s">
        <v>1979</v>
      </c>
    </row>
    <row r="953" spans="1:3">
      <c r="A953" s="10" t="s">
        <v>85</v>
      </c>
      <c r="B953" s="2" t="s">
        <v>1980</v>
      </c>
      <c r="C953" s="11" t="s">
        <v>1981</v>
      </c>
    </row>
    <row r="954" spans="1:3">
      <c r="A954" s="10" t="s">
        <v>85</v>
      </c>
      <c r="B954" s="2" t="s">
        <v>1173</v>
      </c>
      <c r="C954" s="11" t="s">
        <v>1174</v>
      </c>
    </row>
    <row r="955" spans="1:3">
      <c r="A955" s="10" t="s">
        <v>85</v>
      </c>
      <c r="B955" s="2" t="s">
        <v>1982</v>
      </c>
      <c r="C955" s="11" t="s">
        <v>1983</v>
      </c>
    </row>
    <row r="956" spans="1:3">
      <c r="A956" s="10" t="s">
        <v>85</v>
      </c>
      <c r="B956" s="2" t="s">
        <v>1175</v>
      </c>
      <c r="C956" s="11" t="s">
        <v>1176</v>
      </c>
    </row>
    <row r="957" spans="1:3">
      <c r="A957" s="10" t="s">
        <v>85</v>
      </c>
      <c r="B957" s="2" t="s">
        <v>1984</v>
      </c>
      <c r="C957" s="11" t="s">
        <v>1985</v>
      </c>
    </row>
    <row r="958" spans="1:3">
      <c r="A958" s="10" t="s">
        <v>85</v>
      </c>
      <c r="B958" s="2" t="s">
        <v>1181</v>
      </c>
      <c r="C958" s="11" t="s">
        <v>1182</v>
      </c>
    </row>
    <row r="959" spans="1:3">
      <c r="A959" s="10" t="s">
        <v>85</v>
      </c>
      <c r="B959" s="2" t="s">
        <v>1986</v>
      </c>
      <c r="C959" s="11" t="s">
        <v>422</v>
      </c>
    </row>
    <row r="960" spans="1:3">
      <c r="A960" s="10" t="s">
        <v>85</v>
      </c>
      <c r="B960" s="2" t="s">
        <v>1987</v>
      </c>
      <c r="C960" s="11" t="s">
        <v>1988</v>
      </c>
    </row>
    <row r="961" spans="1:3">
      <c r="A961" s="10" t="s">
        <v>85</v>
      </c>
      <c r="B961" s="2" t="s">
        <v>1989</v>
      </c>
      <c r="C961" s="11" t="s">
        <v>1990</v>
      </c>
    </row>
    <row r="962" spans="1:3">
      <c r="A962" s="10" t="s">
        <v>85</v>
      </c>
      <c r="B962" s="2" t="s">
        <v>1991</v>
      </c>
      <c r="C962" s="11" t="s">
        <v>1992</v>
      </c>
    </row>
    <row r="963" spans="1:3">
      <c r="A963" s="10" t="s">
        <v>85</v>
      </c>
      <c r="B963" s="2" t="s">
        <v>1993</v>
      </c>
      <c r="C963" s="11" t="s">
        <v>1994</v>
      </c>
    </row>
    <row r="964" spans="1:3">
      <c r="A964" s="10" t="s">
        <v>85</v>
      </c>
      <c r="B964" s="2" t="s">
        <v>1995</v>
      </c>
      <c r="C964" s="11" t="s">
        <v>287</v>
      </c>
    </row>
    <row r="965" spans="1:3">
      <c r="A965" s="10" t="s">
        <v>85</v>
      </c>
      <c r="B965" s="2" t="s">
        <v>1996</v>
      </c>
      <c r="C965" s="11" t="s">
        <v>1997</v>
      </c>
    </row>
    <row r="966" spans="1:3">
      <c r="A966" s="10" t="s">
        <v>85</v>
      </c>
      <c r="B966" s="2" t="s">
        <v>1998</v>
      </c>
      <c r="C966" s="11" t="s">
        <v>1999</v>
      </c>
    </row>
    <row r="967" spans="1:3">
      <c r="A967" s="10" t="s">
        <v>85</v>
      </c>
      <c r="B967" s="2" t="s">
        <v>2000</v>
      </c>
      <c r="C967" s="11" t="s">
        <v>2001</v>
      </c>
    </row>
    <row r="968" spans="1:3">
      <c r="A968" s="10" t="s">
        <v>85</v>
      </c>
      <c r="B968" s="2" t="s">
        <v>2002</v>
      </c>
      <c r="C968" s="11" t="s">
        <v>2003</v>
      </c>
    </row>
    <row r="969" spans="1:3">
      <c r="A969" s="10" t="s">
        <v>85</v>
      </c>
      <c r="B969" s="2" t="s">
        <v>2004</v>
      </c>
      <c r="C969" s="11" t="s">
        <v>2005</v>
      </c>
    </row>
    <row r="970" spans="1:3">
      <c r="A970" s="10" t="s">
        <v>85</v>
      </c>
      <c r="B970" s="2" t="s">
        <v>2006</v>
      </c>
      <c r="C970" s="11" t="s">
        <v>2007</v>
      </c>
    </row>
    <row r="971" spans="1:3">
      <c r="A971" s="10" t="s">
        <v>85</v>
      </c>
      <c r="B971" s="2" t="s">
        <v>2008</v>
      </c>
      <c r="C971" s="11" t="s">
        <v>2009</v>
      </c>
    </row>
    <row r="972" spans="1:3">
      <c r="A972" s="10" t="s">
        <v>85</v>
      </c>
      <c r="B972" s="2" t="s">
        <v>1190</v>
      </c>
      <c r="C972" s="11" t="s">
        <v>1191</v>
      </c>
    </row>
    <row r="973" spans="1:3">
      <c r="A973" s="10" t="s">
        <v>85</v>
      </c>
      <c r="B973" s="2" t="s">
        <v>2010</v>
      </c>
      <c r="C973" s="11" t="s">
        <v>2011</v>
      </c>
    </row>
    <row r="974" spans="1:3">
      <c r="A974" s="10" t="s">
        <v>85</v>
      </c>
      <c r="B974" s="2" t="s">
        <v>1192</v>
      </c>
      <c r="C974" s="11" t="s">
        <v>1193</v>
      </c>
    </row>
    <row r="975" spans="1:3">
      <c r="A975" s="10" t="s">
        <v>85</v>
      </c>
      <c r="B975" s="2" t="s">
        <v>2012</v>
      </c>
      <c r="C975" s="11" t="s">
        <v>2013</v>
      </c>
    </row>
    <row r="976" spans="1:3">
      <c r="A976" s="10" t="s">
        <v>85</v>
      </c>
      <c r="B976" s="2" t="s">
        <v>354</v>
      </c>
      <c r="C976" s="11" t="s">
        <v>355</v>
      </c>
    </row>
    <row r="977" spans="1:3">
      <c r="A977" s="10" t="s">
        <v>85</v>
      </c>
      <c r="B977" s="2" t="s">
        <v>2014</v>
      </c>
      <c r="C977" s="11" t="s">
        <v>2015</v>
      </c>
    </row>
    <row r="978" spans="1:3">
      <c r="A978" s="10" t="s">
        <v>85</v>
      </c>
      <c r="B978" s="2" t="s">
        <v>1197</v>
      </c>
      <c r="C978" s="11" t="s">
        <v>1198</v>
      </c>
    </row>
    <row r="979" spans="1:3">
      <c r="A979" s="10" t="s">
        <v>85</v>
      </c>
      <c r="B979" s="2" t="s">
        <v>2016</v>
      </c>
      <c r="C979" s="11" t="s">
        <v>2017</v>
      </c>
    </row>
    <row r="980" spans="1:3">
      <c r="A980" s="10" t="s">
        <v>85</v>
      </c>
      <c r="B980" s="2" t="s">
        <v>1199</v>
      </c>
      <c r="C980" s="11" t="s">
        <v>1200</v>
      </c>
    </row>
    <row r="981" spans="1:3">
      <c r="A981" s="10" t="s">
        <v>85</v>
      </c>
      <c r="B981" s="2" t="s">
        <v>2018</v>
      </c>
      <c r="C981" s="11" t="s">
        <v>2019</v>
      </c>
    </row>
    <row r="982" spans="1:3">
      <c r="A982" s="10" t="s">
        <v>85</v>
      </c>
      <c r="B982" s="2" t="s">
        <v>2020</v>
      </c>
      <c r="C982" s="11" t="s">
        <v>2021</v>
      </c>
    </row>
    <row r="983" spans="1:3">
      <c r="A983" s="10" t="s">
        <v>85</v>
      </c>
      <c r="B983" s="2" t="s">
        <v>2022</v>
      </c>
      <c r="C983" s="11" t="s">
        <v>2023</v>
      </c>
    </row>
    <row r="984" spans="1:3">
      <c r="A984" s="10" t="s">
        <v>85</v>
      </c>
      <c r="B984" s="2" t="s">
        <v>1201</v>
      </c>
      <c r="C984" s="11" t="s">
        <v>1202</v>
      </c>
    </row>
    <row r="985" spans="1:3">
      <c r="A985" s="10" t="s">
        <v>85</v>
      </c>
      <c r="B985" s="2" t="s">
        <v>374</v>
      </c>
      <c r="C985" s="11" t="s">
        <v>375</v>
      </c>
    </row>
    <row r="986" spans="1:3">
      <c r="A986" s="10" t="s">
        <v>85</v>
      </c>
      <c r="B986" s="2" t="s">
        <v>2024</v>
      </c>
      <c r="C986" s="11" t="s">
        <v>2025</v>
      </c>
    </row>
    <row r="987" spans="1:3">
      <c r="A987" s="10" t="s">
        <v>85</v>
      </c>
      <c r="B987" s="2" t="s">
        <v>2026</v>
      </c>
      <c r="C987" s="11" t="s">
        <v>1172</v>
      </c>
    </row>
    <row r="988" spans="1:3">
      <c r="A988" s="10" t="s">
        <v>85</v>
      </c>
      <c r="B988" s="2" t="s">
        <v>2027</v>
      </c>
      <c r="C988" s="11" t="s">
        <v>467</v>
      </c>
    </row>
    <row r="989" spans="1:3">
      <c r="A989" s="10" t="s">
        <v>85</v>
      </c>
      <c r="B989" s="2" t="s">
        <v>2028</v>
      </c>
      <c r="C989" s="11" t="s">
        <v>2029</v>
      </c>
    </row>
    <row r="990" spans="1:3">
      <c r="A990" s="10" t="s">
        <v>85</v>
      </c>
      <c r="B990" s="2" t="s">
        <v>2030</v>
      </c>
      <c r="C990" s="11" t="s">
        <v>2031</v>
      </c>
    </row>
    <row r="991" spans="1:3">
      <c r="A991" s="10" t="s">
        <v>85</v>
      </c>
      <c r="B991" s="2" t="s">
        <v>380</v>
      </c>
      <c r="C991" s="11" t="s">
        <v>381</v>
      </c>
    </row>
    <row r="992" spans="1:3">
      <c r="A992" s="10" t="s">
        <v>85</v>
      </c>
      <c r="B992" s="2" t="s">
        <v>2032</v>
      </c>
      <c r="C992" s="11" t="s">
        <v>2033</v>
      </c>
    </row>
    <row r="993" spans="1:3">
      <c r="A993" s="10" t="s">
        <v>85</v>
      </c>
      <c r="B993" s="2" t="s">
        <v>384</v>
      </c>
      <c r="C993" s="11" t="s">
        <v>385</v>
      </c>
    </row>
    <row r="994" spans="1:3">
      <c r="A994" s="10" t="s">
        <v>85</v>
      </c>
      <c r="B994" s="2" t="s">
        <v>2034</v>
      </c>
      <c r="C994" s="11" t="s">
        <v>2035</v>
      </c>
    </row>
    <row r="995" spans="1:3">
      <c r="A995" s="10" t="s">
        <v>85</v>
      </c>
      <c r="B995" s="2" t="s">
        <v>2036</v>
      </c>
      <c r="C995" s="11" t="s">
        <v>2037</v>
      </c>
    </row>
    <row r="996" spans="1:3">
      <c r="A996" s="10" t="s">
        <v>85</v>
      </c>
      <c r="B996" s="2" t="s">
        <v>2038</v>
      </c>
      <c r="C996" s="11" t="s">
        <v>2039</v>
      </c>
    </row>
    <row r="997" spans="1:3">
      <c r="A997" s="10" t="s">
        <v>85</v>
      </c>
      <c r="B997" s="2" t="s">
        <v>2040</v>
      </c>
      <c r="C997" s="11" t="s">
        <v>1580</v>
      </c>
    </row>
    <row r="998" spans="1:3">
      <c r="A998" s="10" t="s">
        <v>85</v>
      </c>
      <c r="B998" s="2" t="s">
        <v>2041</v>
      </c>
      <c r="C998" s="11" t="s">
        <v>2042</v>
      </c>
    </row>
    <row r="999" spans="1:3">
      <c r="A999" s="10" t="s">
        <v>85</v>
      </c>
      <c r="B999" s="2" t="s">
        <v>2043</v>
      </c>
      <c r="C999" s="11" t="s">
        <v>2044</v>
      </c>
    </row>
    <row r="1000" spans="1:3">
      <c r="A1000" s="10" t="s">
        <v>85</v>
      </c>
      <c r="B1000" s="2" t="s">
        <v>398</v>
      </c>
      <c r="C1000" s="11" t="s">
        <v>399</v>
      </c>
    </row>
    <row r="1001" spans="1:3">
      <c r="A1001" s="10" t="s">
        <v>85</v>
      </c>
      <c r="B1001" s="2" t="s">
        <v>1205</v>
      </c>
      <c r="C1001" s="11" t="s">
        <v>1206</v>
      </c>
    </row>
    <row r="1002" spans="1:3">
      <c r="A1002" s="10" t="s">
        <v>85</v>
      </c>
      <c r="B1002" s="2" t="s">
        <v>1207</v>
      </c>
      <c r="C1002" s="11" t="s">
        <v>1208</v>
      </c>
    </row>
    <row r="1003" spans="1:3">
      <c r="A1003" s="10" t="s">
        <v>85</v>
      </c>
      <c r="B1003" s="2" t="s">
        <v>2045</v>
      </c>
      <c r="C1003" s="11" t="s">
        <v>2046</v>
      </c>
    </row>
    <row r="1004" spans="1:3">
      <c r="A1004" s="10" t="s">
        <v>85</v>
      </c>
      <c r="B1004" s="2" t="s">
        <v>2047</v>
      </c>
      <c r="C1004" s="11" t="s">
        <v>2048</v>
      </c>
    </row>
    <row r="1005" spans="1:3">
      <c r="A1005" s="10" t="s">
        <v>85</v>
      </c>
      <c r="B1005" s="2" t="s">
        <v>411</v>
      </c>
      <c r="C1005" s="11" t="s">
        <v>412</v>
      </c>
    </row>
    <row r="1006" spans="1:3">
      <c r="A1006" s="10" t="s">
        <v>85</v>
      </c>
      <c r="B1006" s="2" t="s">
        <v>413</v>
      </c>
      <c r="C1006" s="11" t="s">
        <v>414</v>
      </c>
    </row>
    <row r="1007" spans="1:3">
      <c r="A1007" s="10" t="s">
        <v>85</v>
      </c>
      <c r="B1007" s="2" t="s">
        <v>2049</v>
      </c>
      <c r="C1007" s="11" t="s">
        <v>2050</v>
      </c>
    </row>
    <row r="1008" spans="1:3">
      <c r="A1008" s="10" t="s">
        <v>85</v>
      </c>
      <c r="B1008" s="2" t="s">
        <v>2051</v>
      </c>
      <c r="C1008" s="11" t="s">
        <v>2052</v>
      </c>
    </row>
    <row r="1009" spans="1:3">
      <c r="A1009" s="10" t="s">
        <v>85</v>
      </c>
      <c r="B1009" s="2" t="s">
        <v>2053</v>
      </c>
      <c r="C1009" s="11" t="s">
        <v>483</v>
      </c>
    </row>
    <row r="1010" spans="1:3">
      <c r="A1010" s="10" t="s">
        <v>85</v>
      </c>
      <c r="B1010" s="2" t="s">
        <v>1217</v>
      </c>
      <c r="C1010" s="11" t="s">
        <v>1218</v>
      </c>
    </row>
    <row r="1011" spans="1:3">
      <c r="A1011" s="10" t="s">
        <v>85</v>
      </c>
      <c r="B1011" s="2" t="s">
        <v>2054</v>
      </c>
      <c r="C1011" s="11" t="s">
        <v>2055</v>
      </c>
    </row>
    <row r="1012" spans="1:3">
      <c r="A1012" s="10" t="s">
        <v>85</v>
      </c>
      <c r="B1012" s="2" t="s">
        <v>2056</v>
      </c>
      <c r="C1012" s="11" t="s">
        <v>2057</v>
      </c>
    </row>
    <row r="1013" spans="1:3">
      <c r="A1013" s="10" t="s">
        <v>85</v>
      </c>
      <c r="B1013" s="2" t="s">
        <v>2058</v>
      </c>
      <c r="C1013" s="11" t="s">
        <v>2059</v>
      </c>
    </row>
    <row r="1014" spans="1:3">
      <c r="A1014" s="10" t="s">
        <v>85</v>
      </c>
      <c r="B1014" s="2" t="s">
        <v>2060</v>
      </c>
      <c r="C1014" s="11" t="s">
        <v>2061</v>
      </c>
    </row>
    <row r="1015" spans="1:3">
      <c r="A1015" s="10" t="s">
        <v>85</v>
      </c>
      <c r="B1015" s="2" t="s">
        <v>2062</v>
      </c>
      <c r="C1015" s="11" t="s">
        <v>2063</v>
      </c>
    </row>
    <row r="1016" spans="1:3">
      <c r="A1016" s="10" t="s">
        <v>85</v>
      </c>
      <c r="B1016" s="2" t="s">
        <v>2064</v>
      </c>
      <c r="C1016" s="11" t="s">
        <v>1701</v>
      </c>
    </row>
    <row r="1017" spans="1:3">
      <c r="A1017" s="10" t="s">
        <v>85</v>
      </c>
      <c r="B1017" s="2" t="s">
        <v>2065</v>
      </c>
      <c r="C1017" s="11" t="s">
        <v>2066</v>
      </c>
    </row>
    <row r="1018" spans="1:3">
      <c r="A1018" s="10" t="s">
        <v>85</v>
      </c>
      <c r="B1018" s="2" t="s">
        <v>2067</v>
      </c>
      <c r="C1018" s="11" t="s">
        <v>2068</v>
      </c>
    </row>
    <row r="1019" spans="1:3">
      <c r="A1019" s="10" t="s">
        <v>85</v>
      </c>
      <c r="B1019" s="2" t="s">
        <v>2069</v>
      </c>
      <c r="C1019" s="11" t="s">
        <v>2070</v>
      </c>
    </row>
    <row r="1020" spans="1:3">
      <c r="A1020" s="10" t="s">
        <v>85</v>
      </c>
      <c r="B1020" s="2" t="s">
        <v>2071</v>
      </c>
      <c r="C1020" s="11" t="s">
        <v>2072</v>
      </c>
    </row>
    <row r="1021" spans="1:3">
      <c r="A1021" s="10" t="s">
        <v>85</v>
      </c>
      <c r="B1021" s="2" t="s">
        <v>2073</v>
      </c>
      <c r="C1021" s="11" t="s">
        <v>483</v>
      </c>
    </row>
    <row r="1022" spans="1:3">
      <c r="A1022" s="10" t="s">
        <v>85</v>
      </c>
      <c r="B1022" s="2" t="s">
        <v>2074</v>
      </c>
      <c r="C1022" s="11" t="s">
        <v>2075</v>
      </c>
    </row>
    <row r="1023" spans="1:3">
      <c r="A1023" s="10" t="s">
        <v>85</v>
      </c>
      <c r="B1023" s="2" t="s">
        <v>2076</v>
      </c>
      <c r="C1023" s="11" t="s">
        <v>2077</v>
      </c>
    </row>
    <row r="1024" spans="1:3">
      <c r="A1024" s="10" t="s">
        <v>85</v>
      </c>
      <c r="B1024" s="2" t="s">
        <v>2078</v>
      </c>
      <c r="C1024" s="11" t="s">
        <v>483</v>
      </c>
    </row>
    <row r="1025" spans="1:3">
      <c r="A1025" s="10" t="s">
        <v>85</v>
      </c>
      <c r="B1025" s="2" t="s">
        <v>2079</v>
      </c>
      <c r="C1025" s="11" t="s">
        <v>2080</v>
      </c>
    </row>
    <row r="1026" spans="1:3">
      <c r="A1026" s="10" t="s">
        <v>85</v>
      </c>
      <c r="B1026" s="2" t="s">
        <v>2081</v>
      </c>
      <c r="C1026" s="11" t="s">
        <v>2082</v>
      </c>
    </row>
    <row r="1027" spans="1:3">
      <c r="A1027" s="10" t="s">
        <v>85</v>
      </c>
      <c r="B1027" s="2" t="s">
        <v>2083</v>
      </c>
      <c r="C1027" s="11" t="s">
        <v>483</v>
      </c>
    </row>
    <row r="1028" spans="1:3">
      <c r="A1028" s="10" t="s">
        <v>85</v>
      </c>
      <c r="B1028" s="2" t="s">
        <v>2084</v>
      </c>
      <c r="C1028" s="11" t="s">
        <v>2085</v>
      </c>
    </row>
    <row r="1029" spans="1:3">
      <c r="A1029" s="10" t="s">
        <v>85</v>
      </c>
      <c r="B1029" s="2" t="s">
        <v>2086</v>
      </c>
      <c r="C1029" s="11" t="s">
        <v>2087</v>
      </c>
    </row>
    <row r="1030" spans="1:3">
      <c r="A1030" s="10" t="s">
        <v>85</v>
      </c>
      <c r="B1030" s="2" t="s">
        <v>2088</v>
      </c>
      <c r="C1030" s="11" t="s">
        <v>2089</v>
      </c>
    </row>
    <row r="1031" spans="1:3">
      <c r="A1031" s="10" t="s">
        <v>85</v>
      </c>
      <c r="B1031" s="2" t="s">
        <v>2090</v>
      </c>
      <c r="C1031" s="11" t="s">
        <v>2091</v>
      </c>
    </row>
    <row r="1032" spans="1:3">
      <c r="A1032" s="10" t="s">
        <v>85</v>
      </c>
      <c r="B1032" s="2" t="s">
        <v>2092</v>
      </c>
      <c r="C1032" s="11" t="s">
        <v>2093</v>
      </c>
    </row>
    <row r="1033" spans="1:3">
      <c r="A1033" s="10" t="s">
        <v>85</v>
      </c>
      <c r="B1033" s="2" t="s">
        <v>2094</v>
      </c>
      <c r="C1033" s="11" t="s">
        <v>2095</v>
      </c>
    </row>
    <row r="1034" spans="1:3">
      <c r="A1034" s="10" t="s">
        <v>85</v>
      </c>
      <c r="B1034" s="2" t="s">
        <v>433</v>
      </c>
      <c r="C1034" s="11" t="s">
        <v>434</v>
      </c>
    </row>
    <row r="1035" spans="1:3">
      <c r="A1035" s="10" t="s">
        <v>85</v>
      </c>
      <c r="B1035" s="2" t="s">
        <v>2096</v>
      </c>
      <c r="C1035" s="11" t="s">
        <v>2097</v>
      </c>
    </row>
    <row r="1036" spans="1:3">
      <c r="A1036" s="10" t="s">
        <v>85</v>
      </c>
      <c r="B1036" s="2" t="s">
        <v>2098</v>
      </c>
      <c r="C1036" s="11" t="s">
        <v>2099</v>
      </c>
    </row>
    <row r="1037" spans="1:3">
      <c r="A1037" s="10" t="s">
        <v>85</v>
      </c>
      <c r="B1037" s="2" t="s">
        <v>2100</v>
      </c>
      <c r="C1037" s="11" t="s">
        <v>2101</v>
      </c>
    </row>
    <row r="1038" spans="1:3">
      <c r="A1038" s="10" t="s">
        <v>85</v>
      </c>
      <c r="B1038" s="2" t="s">
        <v>2102</v>
      </c>
      <c r="C1038" s="11" t="s">
        <v>2103</v>
      </c>
    </row>
    <row r="1039" spans="1:3">
      <c r="A1039" s="10" t="s">
        <v>85</v>
      </c>
      <c r="B1039" s="2" t="s">
        <v>2104</v>
      </c>
      <c r="C1039" s="11" t="s">
        <v>2105</v>
      </c>
    </row>
    <row r="1040" spans="1:3">
      <c r="A1040" s="10" t="s">
        <v>85</v>
      </c>
      <c r="B1040" s="2" t="s">
        <v>1245</v>
      </c>
      <c r="C1040" s="11" t="s">
        <v>1246</v>
      </c>
    </row>
    <row r="1041" spans="1:3">
      <c r="A1041" s="10" t="s">
        <v>85</v>
      </c>
      <c r="B1041" s="2" t="s">
        <v>2106</v>
      </c>
      <c r="C1041" s="11" t="s">
        <v>2107</v>
      </c>
    </row>
    <row r="1042" spans="1:3">
      <c r="A1042" s="10" t="s">
        <v>85</v>
      </c>
      <c r="B1042" s="2" t="s">
        <v>2108</v>
      </c>
      <c r="C1042" s="11" t="s">
        <v>287</v>
      </c>
    </row>
    <row r="1043" spans="1:3">
      <c r="A1043" s="10" t="s">
        <v>85</v>
      </c>
      <c r="B1043" s="2" t="s">
        <v>439</v>
      </c>
      <c r="C1043" s="11" t="s">
        <v>440</v>
      </c>
    </row>
    <row r="1044" spans="1:3">
      <c r="A1044" s="10" t="s">
        <v>85</v>
      </c>
      <c r="B1044" s="2" t="s">
        <v>2109</v>
      </c>
      <c r="C1044" s="11" t="s">
        <v>2110</v>
      </c>
    </row>
    <row r="1045" spans="1:3">
      <c r="A1045" s="10" t="s">
        <v>85</v>
      </c>
      <c r="B1045" s="2" t="s">
        <v>2111</v>
      </c>
      <c r="C1045" s="11" t="s">
        <v>2112</v>
      </c>
    </row>
    <row r="1046" spans="1:3">
      <c r="A1046" s="10" t="s">
        <v>85</v>
      </c>
      <c r="B1046" s="2" t="s">
        <v>1247</v>
      </c>
      <c r="C1046" s="11" t="s">
        <v>1248</v>
      </c>
    </row>
    <row r="1047" spans="1:3">
      <c r="A1047" s="10" t="s">
        <v>85</v>
      </c>
      <c r="B1047" s="2" t="s">
        <v>2113</v>
      </c>
      <c r="C1047" s="11" t="s">
        <v>2114</v>
      </c>
    </row>
    <row r="1048" spans="1:3">
      <c r="A1048" s="10" t="s">
        <v>85</v>
      </c>
      <c r="B1048" s="2" t="s">
        <v>441</v>
      </c>
      <c r="C1048" s="11" t="s">
        <v>442</v>
      </c>
    </row>
    <row r="1049" spans="1:3">
      <c r="A1049" s="10" t="s">
        <v>85</v>
      </c>
      <c r="B1049" s="2" t="s">
        <v>2115</v>
      </c>
      <c r="C1049" s="11" t="s">
        <v>2116</v>
      </c>
    </row>
    <row r="1050" spans="1:3">
      <c r="A1050" s="10" t="s">
        <v>85</v>
      </c>
      <c r="B1050" s="2" t="s">
        <v>443</v>
      </c>
      <c r="C1050" s="11" t="s">
        <v>444</v>
      </c>
    </row>
    <row r="1051" spans="1:3">
      <c r="A1051" s="10" t="s">
        <v>85</v>
      </c>
      <c r="B1051" s="2" t="s">
        <v>2117</v>
      </c>
      <c r="C1051" s="11" t="s">
        <v>2118</v>
      </c>
    </row>
    <row r="1052" spans="1:3">
      <c r="A1052" s="10" t="s">
        <v>85</v>
      </c>
      <c r="B1052" s="2" t="s">
        <v>2119</v>
      </c>
      <c r="C1052" s="11" t="s">
        <v>448</v>
      </c>
    </row>
    <row r="1053" spans="1:3">
      <c r="A1053" s="10" t="s">
        <v>85</v>
      </c>
      <c r="B1053" s="2" t="s">
        <v>1253</v>
      </c>
      <c r="C1053" s="11" t="s">
        <v>483</v>
      </c>
    </row>
    <row r="1054" spans="1:3">
      <c r="A1054" s="10" t="s">
        <v>85</v>
      </c>
      <c r="B1054" s="2" t="s">
        <v>2120</v>
      </c>
      <c r="C1054" s="11" t="s">
        <v>2121</v>
      </c>
    </row>
    <row r="1055" spans="1:3">
      <c r="A1055" s="10" t="s">
        <v>85</v>
      </c>
      <c r="B1055" s="2" t="s">
        <v>2122</v>
      </c>
      <c r="C1055" s="11" t="s">
        <v>2123</v>
      </c>
    </row>
    <row r="1056" spans="1:3">
      <c r="A1056" s="10" t="s">
        <v>85</v>
      </c>
      <c r="B1056" s="2" t="s">
        <v>2124</v>
      </c>
      <c r="C1056" s="11" t="s">
        <v>2125</v>
      </c>
    </row>
    <row r="1057" spans="1:3">
      <c r="A1057" s="10" t="s">
        <v>85</v>
      </c>
      <c r="B1057" s="2" t="s">
        <v>2126</v>
      </c>
      <c r="C1057" s="11" t="s">
        <v>2127</v>
      </c>
    </row>
    <row r="1058" spans="1:3">
      <c r="A1058" s="10" t="s">
        <v>85</v>
      </c>
      <c r="B1058" s="2" t="s">
        <v>2128</v>
      </c>
      <c r="C1058" s="11" t="s">
        <v>2129</v>
      </c>
    </row>
    <row r="1059" spans="1:3">
      <c r="A1059" s="10" t="s">
        <v>85</v>
      </c>
      <c r="B1059" s="2" t="s">
        <v>2130</v>
      </c>
      <c r="C1059" s="11" t="s">
        <v>2131</v>
      </c>
    </row>
    <row r="1060" spans="1:3">
      <c r="A1060" s="10" t="s">
        <v>85</v>
      </c>
      <c r="B1060" s="2" t="s">
        <v>2132</v>
      </c>
      <c r="C1060" s="11" t="s">
        <v>2133</v>
      </c>
    </row>
    <row r="1061" spans="1:3">
      <c r="A1061" s="10" t="s">
        <v>85</v>
      </c>
      <c r="B1061" s="2" t="s">
        <v>2134</v>
      </c>
      <c r="C1061" s="11" t="s">
        <v>2135</v>
      </c>
    </row>
    <row r="1062" spans="1:3">
      <c r="A1062" s="10" t="s">
        <v>85</v>
      </c>
      <c r="B1062" s="2" t="s">
        <v>2136</v>
      </c>
      <c r="C1062" s="11" t="s">
        <v>2137</v>
      </c>
    </row>
    <row r="1063" spans="1:3">
      <c r="A1063" s="10" t="s">
        <v>85</v>
      </c>
      <c r="B1063" s="2" t="s">
        <v>2138</v>
      </c>
      <c r="C1063" s="11" t="s">
        <v>2139</v>
      </c>
    </row>
    <row r="1064" spans="1:3">
      <c r="A1064" s="10" t="s">
        <v>85</v>
      </c>
      <c r="B1064" s="2" t="s">
        <v>2140</v>
      </c>
      <c r="C1064" s="11" t="s">
        <v>2141</v>
      </c>
    </row>
    <row r="1065" spans="1:3">
      <c r="A1065" s="10" t="s">
        <v>85</v>
      </c>
      <c r="B1065" s="2" t="s">
        <v>2142</v>
      </c>
      <c r="C1065" s="11" t="s">
        <v>823</v>
      </c>
    </row>
    <row r="1066" spans="1:3">
      <c r="A1066" s="10" t="s">
        <v>85</v>
      </c>
      <c r="B1066" s="2" t="s">
        <v>2143</v>
      </c>
      <c r="C1066" s="11" t="s">
        <v>2144</v>
      </c>
    </row>
    <row r="1067" spans="1:3">
      <c r="A1067" s="10" t="s">
        <v>85</v>
      </c>
      <c r="B1067" s="2" t="s">
        <v>2145</v>
      </c>
      <c r="C1067" s="11" t="s">
        <v>2146</v>
      </c>
    </row>
    <row r="1068" spans="1:3">
      <c r="A1068" s="10" t="s">
        <v>85</v>
      </c>
      <c r="B1068" s="2" t="s">
        <v>1273</v>
      </c>
      <c r="C1068" s="11" t="s">
        <v>1274</v>
      </c>
    </row>
    <row r="1069" spans="1:3">
      <c r="A1069" s="10" t="s">
        <v>85</v>
      </c>
      <c r="B1069" s="2" t="s">
        <v>474</v>
      </c>
      <c r="C1069" s="11" t="s">
        <v>475</v>
      </c>
    </row>
    <row r="1070" spans="1:3">
      <c r="A1070" s="10" t="s">
        <v>85</v>
      </c>
      <c r="B1070" s="2" t="s">
        <v>2147</v>
      </c>
      <c r="C1070" s="11" t="s">
        <v>2148</v>
      </c>
    </row>
    <row r="1071" spans="1:3">
      <c r="A1071" s="10" t="s">
        <v>85</v>
      </c>
      <c r="B1071" s="2" t="s">
        <v>2149</v>
      </c>
      <c r="C1071" s="11" t="s">
        <v>2150</v>
      </c>
    </row>
    <row r="1072" spans="1:3">
      <c r="A1072" s="10" t="s">
        <v>85</v>
      </c>
      <c r="B1072" s="2" t="s">
        <v>2151</v>
      </c>
      <c r="C1072" s="11" t="s">
        <v>467</v>
      </c>
    </row>
    <row r="1073" spans="1:3">
      <c r="A1073" s="10" t="s">
        <v>85</v>
      </c>
      <c r="B1073" s="2" t="s">
        <v>2152</v>
      </c>
      <c r="C1073" s="11" t="s">
        <v>2153</v>
      </c>
    </row>
    <row r="1074" spans="1:3">
      <c r="A1074" s="10" t="s">
        <v>85</v>
      </c>
      <c r="B1074" s="2" t="s">
        <v>2154</v>
      </c>
      <c r="C1074" s="11" t="s">
        <v>2155</v>
      </c>
    </row>
    <row r="1075" spans="1:3">
      <c r="A1075" s="10" t="s">
        <v>85</v>
      </c>
      <c r="B1075" s="2" t="s">
        <v>2156</v>
      </c>
      <c r="C1075" s="11" t="s">
        <v>2157</v>
      </c>
    </row>
    <row r="1076" spans="1:3">
      <c r="A1076" s="10" t="s">
        <v>85</v>
      </c>
      <c r="B1076" s="2" t="s">
        <v>2158</v>
      </c>
      <c r="C1076" s="11" t="s">
        <v>2159</v>
      </c>
    </row>
    <row r="1077" spans="1:3">
      <c r="A1077" s="10" t="s">
        <v>85</v>
      </c>
      <c r="B1077" s="2" t="s">
        <v>2160</v>
      </c>
      <c r="C1077" s="11" t="s">
        <v>2161</v>
      </c>
    </row>
    <row r="1078" spans="1:3">
      <c r="A1078" s="10" t="s">
        <v>85</v>
      </c>
      <c r="B1078" s="2" t="s">
        <v>2162</v>
      </c>
      <c r="C1078" s="11" t="s">
        <v>2163</v>
      </c>
    </row>
    <row r="1079" spans="1:3">
      <c r="A1079" s="10" t="s">
        <v>85</v>
      </c>
      <c r="B1079" s="2" t="s">
        <v>2164</v>
      </c>
      <c r="C1079" s="11" t="s">
        <v>2165</v>
      </c>
    </row>
    <row r="1080" spans="1:3">
      <c r="A1080" s="10" t="s">
        <v>85</v>
      </c>
      <c r="B1080" s="2" t="s">
        <v>2166</v>
      </c>
      <c r="C1080" s="11" t="s">
        <v>2167</v>
      </c>
    </row>
    <row r="1081" spans="1:3">
      <c r="A1081" s="10" t="s">
        <v>85</v>
      </c>
      <c r="B1081" s="2" t="s">
        <v>2168</v>
      </c>
      <c r="C1081" s="11" t="s">
        <v>2169</v>
      </c>
    </row>
    <row r="1082" spans="1:3">
      <c r="A1082" s="10" t="s">
        <v>85</v>
      </c>
      <c r="B1082" s="2" t="s">
        <v>2170</v>
      </c>
      <c r="C1082" s="11" t="s">
        <v>2171</v>
      </c>
    </row>
    <row r="1083" spans="1:3">
      <c r="A1083" s="10" t="s">
        <v>85</v>
      </c>
      <c r="B1083" s="2" t="s">
        <v>496</v>
      </c>
      <c r="C1083" s="11" t="s">
        <v>497</v>
      </c>
    </row>
    <row r="1084" spans="1:3">
      <c r="A1084" s="10" t="s">
        <v>85</v>
      </c>
      <c r="B1084" s="2" t="s">
        <v>2172</v>
      </c>
      <c r="C1084" s="11" t="s">
        <v>2173</v>
      </c>
    </row>
    <row r="1085" spans="1:3">
      <c r="A1085" s="10" t="s">
        <v>85</v>
      </c>
      <c r="B1085" s="2" t="s">
        <v>2174</v>
      </c>
      <c r="C1085" s="11" t="s">
        <v>2175</v>
      </c>
    </row>
    <row r="1086" spans="1:3">
      <c r="A1086" s="10" t="s">
        <v>85</v>
      </c>
      <c r="B1086" s="2" t="s">
        <v>502</v>
      </c>
      <c r="C1086" s="11" t="s">
        <v>503</v>
      </c>
    </row>
    <row r="1087" spans="1:3">
      <c r="A1087" s="10" t="s">
        <v>85</v>
      </c>
      <c r="B1087" s="2" t="s">
        <v>2176</v>
      </c>
      <c r="C1087" s="11" t="s">
        <v>2177</v>
      </c>
    </row>
    <row r="1088" spans="1:3">
      <c r="A1088" s="10" t="s">
        <v>85</v>
      </c>
      <c r="B1088" s="2" t="s">
        <v>2178</v>
      </c>
      <c r="C1088" s="11" t="s">
        <v>2179</v>
      </c>
    </row>
    <row r="1089" spans="1:3">
      <c r="A1089" s="10" t="s">
        <v>85</v>
      </c>
      <c r="B1089" s="2" t="s">
        <v>2180</v>
      </c>
      <c r="C1089" s="11" t="s">
        <v>2181</v>
      </c>
    </row>
    <row r="1090" spans="1:3">
      <c r="A1090" s="10" t="s">
        <v>85</v>
      </c>
      <c r="B1090" s="2" t="s">
        <v>2182</v>
      </c>
      <c r="C1090" s="11" t="s">
        <v>2183</v>
      </c>
    </row>
    <row r="1091" spans="1:3">
      <c r="A1091" s="10" t="s">
        <v>85</v>
      </c>
      <c r="B1091" s="2" t="s">
        <v>2184</v>
      </c>
      <c r="C1091" s="11" t="s">
        <v>509</v>
      </c>
    </row>
    <row r="1092" spans="1:3">
      <c r="A1092" s="10" t="s">
        <v>85</v>
      </c>
      <c r="B1092" s="2" t="s">
        <v>2185</v>
      </c>
      <c r="C1092" s="11" t="s">
        <v>2186</v>
      </c>
    </row>
    <row r="1093" spans="1:3">
      <c r="A1093" s="10" t="s">
        <v>85</v>
      </c>
      <c r="B1093" s="2" t="s">
        <v>2187</v>
      </c>
      <c r="C1093" s="11" t="s">
        <v>2188</v>
      </c>
    </row>
    <row r="1094" spans="1:3">
      <c r="A1094" s="10" t="s">
        <v>85</v>
      </c>
      <c r="B1094" s="2" t="s">
        <v>2189</v>
      </c>
      <c r="C1094" s="11" t="s">
        <v>2190</v>
      </c>
    </row>
    <row r="1095" spans="1:3">
      <c r="A1095" s="10" t="s">
        <v>85</v>
      </c>
      <c r="B1095" s="2" t="s">
        <v>2191</v>
      </c>
      <c r="C1095" s="11" t="s">
        <v>2192</v>
      </c>
    </row>
    <row r="1096" spans="1:3">
      <c r="A1096" s="10" t="s">
        <v>85</v>
      </c>
      <c r="B1096" s="2" t="s">
        <v>2193</v>
      </c>
      <c r="C1096" s="11" t="s">
        <v>2194</v>
      </c>
    </row>
    <row r="1097" spans="1:3">
      <c r="A1097" s="10" t="s">
        <v>85</v>
      </c>
      <c r="B1097" s="2" t="s">
        <v>1313</v>
      </c>
      <c r="C1097" s="11" t="s">
        <v>1314</v>
      </c>
    </row>
    <row r="1098" spans="1:3">
      <c r="A1098" s="10" t="s">
        <v>85</v>
      </c>
      <c r="B1098" s="2" t="s">
        <v>2195</v>
      </c>
      <c r="C1098" s="11" t="s">
        <v>2196</v>
      </c>
    </row>
    <row r="1099" spans="1:3">
      <c r="A1099" s="10" t="s">
        <v>85</v>
      </c>
      <c r="B1099" s="2" t="s">
        <v>2197</v>
      </c>
      <c r="C1099" s="11" t="s">
        <v>2198</v>
      </c>
    </row>
    <row r="1100" spans="1:3">
      <c r="A1100" s="10" t="s">
        <v>85</v>
      </c>
      <c r="B1100" s="2" t="s">
        <v>2199</v>
      </c>
      <c r="C1100" s="11" t="s">
        <v>1523</v>
      </c>
    </row>
    <row r="1101" spans="1:3">
      <c r="A1101" s="10" t="s">
        <v>85</v>
      </c>
      <c r="B1101" s="2" t="s">
        <v>2200</v>
      </c>
      <c r="C1101" s="11" t="s">
        <v>1216</v>
      </c>
    </row>
    <row r="1102" spans="1:3">
      <c r="A1102" s="10" t="s">
        <v>85</v>
      </c>
      <c r="B1102" s="2" t="s">
        <v>2201</v>
      </c>
      <c r="C1102" s="11" t="s">
        <v>2202</v>
      </c>
    </row>
    <row r="1103" spans="1:3">
      <c r="A1103" s="10" t="s">
        <v>85</v>
      </c>
      <c r="B1103" s="2" t="s">
        <v>2203</v>
      </c>
      <c r="C1103" s="11" t="s">
        <v>2204</v>
      </c>
    </row>
    <row r="1104" spans="1:3">
      <c r="A1104" s="10" t="s">
        <v>85</v>
      </c>
      <c r="B1104" s="2" t="s">
        <v>527</v>
      </c>
      <c r="C1104" s="11" t="s">
        <v>528</v>
      </c>
    </row>
    <row r="1105" spans="1:3">
      <c r="A1105" s="10" t="s">
        <v>85</v>
      </c>
      <c r="B1105" s="2" t="s">
        <v>2205</v>
      </c>
      <c r="C1105" s="11" t="s">
        <v>2206</v>
      </c>
    </row>
    <row r="1106" spans="1:3">
      <c r="A1106" s="10" t="s">
        <v>85</v>
      </c>
      <c r="B1106" s="2" t="s">
        <v>2207</v>
      </c>
      <c r="C1106" s="11" t="s">
        <v>2208</v>
      </c>
    </row>
    <row r="1107" spans="1:3">
      <c r="A1107" s="10" t="s">
        <v>85</v>
      </c>
      <c r="B1107" s="2" t="s">
        <v>2209</v>
      </c>
      <c r="C1107" s="11" t="s">
        <v>2210</v>
      </c>
    </row>
    <row r="1108" spans="1:3">
      <c r="A1108" s="10" t="s">
        <v>85</v>
      </c>
      <c r="B1108" s="2" t="s">
        <v>2211</v>
      </c>
      <c r="C1108" s="11" t="s">
        <v>2212</v>
      </c>
    </row>
    <row r="1109" spans="1:3">
      <c r="A1109" s="10" t="s">
        <v>85</v>
      </c>
      <c r="B1109" s="2" t="s">
        <v>535</v>
      </c>
      <c r="C1109" s="11" t="s">
        <v>536</v>
      </c>
    </row>
    <row r="1110" spans="1:3">
      <c r="A1110" s="10" t="s">
        <v>85</v>
      </c>
      <c r="B1110" s="2" t="s">
        <v>2213</v>
      </c>
      <c r="C1110" s="11" t="s">
        <v>2214</v>
      </c>
    </row>
    <row r="1111" spans="1:3">
      <c r="A1111" s="10" t="s">
        <v>85</v>
      </c>
      <c r="B1111" s="2" t="s">
        <v>1335</v>
      </c>
      <c r="C1111" s="11" t="s">
        <v>1336</v>
      </c>
    </row>
    <row r="1112" spans="1:3">
      <c r="A1112" s="10" t="s">
        <v>85</v>
      </c>
      <c r="B1112" s="2" t="s">
        <v>2215</v>
      </c>
      <c r="C1112" s="11" t="s">
        <v>2216</v>
      </c>
    </row>
    <row r="1113" spans="1:3">
      <c r="A1113" s="10" t="s">
        <v>85</v>
      </c>
      <c r="B1113" s="2" t="s">
        <v>2217</v>
      </c>
      <c r="C1113" s="11" t="s">
        <v>2218</v>
      </c>
    </row>
    <row r="1114" spans="1:3">
      <c r="A1114" s="10" t="s">
        <v>85</v>
      </c>
      <c r="B1114" s="2" t="s">
        <v>2219</v>
      </c>
      <c r="C1114" s="11" t="s">
        <v>2220</v>
      </c>
    </row>
    <row r="1115" spans="1:3">
      <c r="A1115" s="10" t="s">
        <v>85</v>
      </c>
      <c r="B1115" s="2" t="s">
        <v>2221</v>
      </c>
      <c r="C1115" s="11" t="s">
        <v>2222</v>
      </c>
    </row>
    <row r="1116" spans="1:3">
      <c r="A1116" s="10" t="s">
        <v>85</v>
      </c>
      <c r="B1116" s="2" t="s">
        <v>2223</v>
      </c>
      <c r="C1116" s="11" t="s">
        <v>2224</v>
      </c>
    </row>
    <row r="1117" spans="1:3">
      <c r="A1117" s="10" t="s">
        <v>85</v>
      </c>
      <c r="B1117" s="2" t="s">
        <v>1343</v>
      </c>
      <c r="C1117" s="11" t="s">
        <v>467</v>
      </c>
    </row>
    <row r="1118" spans="1:3">
      <c r="A1118" s="10" t="s">
        <v>85</v>
      </c>
      <c r="B1118" s="2" t="s">
        <v>2225</v>
      </c>
      <c r="C1118" s="11" t="s">
        <v>2226</v>
      </c>
    </row>
    <row r="1119" spans="1:3">
      <c r="A1119" s="10" t="s">
        <v>85</v>
      </c>
      <c r="B1119" s="2" t="s">
        <v>2227</v>
      </c>
      <c r="C1119" s="11" t="s">
        <v>2228</v>
      </c>
    </row>
    <row r="1120" spans="1:3">
      <c r="A1120" s="10" t="s">
        <v>85</v>
      </c>
      <c r="B1120" s="2" t="s">
        <v>2229</v>
      </c>
      <c r="C1120" s="11" t="s">
        <v>2230</v>
      </c>
    </row>
    <row r="1121" spans="1:3">
      <c r="A1121" s="10" t="s">
        <v>85</v>
      </c>
      <c r="B1121" s="2" t="s">
        <v>2231</v>
      </c>
      <c r="C1121" s="11" t="s">
        <v>1326</v>
      </c>
    </row>
    <row r="1122" spans="1:3">
      <c r="A1122" s="10" t="s">
        <v>85</v>
      </c>
      <c r="B1122" s="2" t="s">
        <v>2232</v>
      </c>
      <c r="C1122" s="11" t="s">
        <v>2233</v>
      </c>
    </row>
    <row r="1123" spans="1:3">
      <c r="A1123" s="10" t="s">
        <v>85</v>
      </c>
      <c r="B1123" s="2" t="s">
        <v>2234</v>
      </c>
      <c r="C1123" s="11" t="s">
        <v>2235</v>
      </c>
    </row>
    <row r="1124" spans="1:3">
      <c r="A1124" s="10" t="s">
        <v>85</v>
      </c>
      <c r="B1124" s="2" t="s">
        <v>2236</v>
      </c>
      <c r="C1124" s="11" t="s">
        <v>2237</v>
      </c>
    </row>
    <row r="1125" spans="1:3">
      <c r="A1125" s="10" t="s">
        <v>85</v>
      </c>
      <c r="B1125" s="2" t="s">
        <v>2238</v>
      </c>
      <c r="C1125" s="11" t="s">
        <v>2239</v>
      </c>
    </row>
    <row r="1126" spans="1:3">
      <c r="A1126" s="10" t="s">
        <v>85</v>
      </c>
      <c r="B1126" s="2" t="s">
        <v>2240</v>
      </c>
      <c r="C1126" s="11" t="s">
        <v>2241</v>
      </c>
    </row>
    <row r="1127" spans="1:3">
      <c r="A1127" s="10" t="s">
        <v>85</v>
      </c>
      <c r="B1127" s="2" t="s">
        <v>1348</v>
      </c>
      <c r="C1127" s="11" t="s">
        <v>1349</v>
      </c>
    </row>
    <row r="1128" spans="1:3">
      <c r="A1128" s="10" t="s">
        <v>85</v>
      </c>
      <c r="B1128" s="2" t="s">
        <v>2242</v>
      </c>
      <c r="C1128" s="11" t="s">
        <v>2243</v>
      </c>
    </row>
    <row r="1129" spans="1:3">
      <c r="A1129" s="10" t="s">
        <v>85</v>
      </c>
      <c r="B1129" s="2" t="s">
        <v>1350</v>
      </c>
      <c r="C1129" s="11" t="s">
        <v>1351</v>
      </c>
    </row>
    <row r="1130" spans="1:3">
      <c r="A1130" s="10" t="s">
        <v>85</v>
      </c>
      <c r="B1130" s="2" t="s">
        <v>2244</v>
      </c>
      <c r="C1130" s="11" t="s">
        <v>2245</v>
      </c>
    </row>
    <row r="1131" spans="1:3">
      <c r="A1131" s="10" t="s">
        <v>85</v>
      </c>
      <c r="B1131" s="2" t="s">
        <v>2246</v>
      </c>
      <c r="C1131" s="11" t="s">
        <v>2247</v>
      </c>
    </row>
    <row r="1132" spans="1:3">
      <c r="A1132" s="10" t="s">
        <v>85</v>
      </c>
      <c r="B1132" s="2" t="s">
        <v>2248</v>
      </c>
      <c r="C1132" s="11" t="s">
        <v>2249</v>
      </c>
    </row>
    <row r="1133" spans="1:3">
      <c r="A1133" s="10" t="s">
        <v>85</v>
      </c>
      <c r="B1133" s="2" t="s">
        <v>2250</v>
      </c>
      <c r="C1133" s="11" t="s">
        <v>2251</v>
      </c>
    </row>
    <row r="1134" spans="1:3">
      <c r="A1134" s="10" t="s">
        <v>85</v>
      </c>
      <c r="B1134" s="2" t="s">
        <v>2252</v>
      </c>
      <c r="C1134" s="11" t="s">
        <v>2253</v>
      </c>
    </row>
    <row r="1135" spans="1:3">
      <c r="A1135" s="10" t="s">
        <v>85</v>
      </c>
      <c r="B1135" s="2" t="s">
        <v>2254</v>
      </c>
      <c r="C1135" s="11" t="s">
        <v>2255</v>
      </c>
    </row>
    <row r="1136" spans="1:3">
      <c r="A1136" s="10" t="s">
        <v>85</v>
      </c>
      <c r="B1136" s="2" t="s">
        <v>2256</v>
      </c>
      <c r="C1136" s="11" t="s">
        <v>2257</v>
      </c>
    </row>
    <row r="1137" spans="1:3">
      <c r="A1137" s="10" t="s">
        <v>85</v>
      </c>
      <c r="B1137" s="2" t="s">
        <v>2258</v>
      </c>
      <c r="C1137" s="11" t="s">
        <v>2259</v>
      </c>
    </row>
    <row r="1138" spans="1:3">
      <c r="A1138" s="10" t="s">
        <v>85</v>
      </c>
      <c r="B1138" s="2" t="s">
        <v>2260</v>
      </c>
      <c r="C1138" s="11" t="s">
        <v>2261</v>
      </c>
    </row>
    <row r="1139" spans="1:3">
      <c r="A1139" s="10" t="s">
        <v>85</v>
      </c>
      <c r="B1139" s="2" t="s">
        <v>2262</v>
      </c>
      <c r="C1139" s="11" t="s">
        <v>2263</v>
      </c>
    </row>
    <row r="1140" spans="1:3">
      <c r="A1140" s="10" t="s">
        <v>85</v>
      </c>
      <c r="B1140" s="2" t="s">
        <v>1362</v>
      </c>
      <c r="C1140" s="11" t="s">
        <v>1363</v>
      </c>
    </row>
    <row r="1141" spans="1:3">
      <c r="A1141" s="10" t="s">
        <v>85</v>
      </c>
      <c r="B1141" s="2" t="s">
        <v>2264</v>
      </c>
      <c r="C1141" s="11" t="s">
        <v>2265</v>
      </c>
    </row>
    <row r="1142" spans="1:3">
      <c r="A1142" s="10" t="s">
        <v>85</v>
      </c>
      <c r="B1142" s="2" t="s">
        <v>2266</v>
      </c>
      <c r="C1142" s="11" t="s">
        <v>2267</v>
      </c>
    </row>
    <row r="1143" spans="1:3">
      <c r="A1143" s="10" t="s">
        <v>85</v>
      </c>
      <c r="B1143" s="2" t="s">
        <v>2268</v>
      </c>
      <c r="C1143" s="11" t="s">
        <v>2269</v>
      </c>
    </row>
    <row r="1144" spans="1:3">
      <c r="A1144" s="10" t="s">
        <v>85</v>
      </c>
      <c r="B1144" s="2" t="s">
        <v>2270</v>
      </c>
      <c r="C1144" s="11" t="s">
        <v>2271</v>
      </c>
    </row>
    <row r="1145" spans="1:3">
      <c r="A1145" s="10" t="s">
        <v>85</v>
      </c>
      <c r="B1145" s="2" t="s">
        <v>2272</v>
      </c>
      <c r="C1145" s="11" t="s">
        <v>2273</v>
      </c>
    </row>
    <row r="1146" spans="1:3">
      <c r="A1146" s="10" t="s">
        <v>85</v>
      </c>
      <c r="B1146" s="2" t="s">
        <v>2274</v>
      </c>
      <c r="C1146" s="11" t="s">
        <v>2275</v>
      </c>
    </row>
    <row r="1147" spans="1:3">
      <c r="A1147" s="10" t="s">
        <v>85</v>
      </c>
      <c r="B1147" s="2" t="s">
        <v>2276</v>
      </c>
      <c r="C1147" s="11" t="s">
        <v>2277</v>
      </c>
    </row>
    <row r="1148" spans="1:3">
      <c r="A1148" s="10" t="s">
        <v>85</v>
      </c>
      <c r="B1148" s="2" t="s">
        <v>2278</v>
      </c>
      <c r="C1148" s="11" t="s">
        <v>2279</v>
      </c>
    </row>
    <row r="1149" spans="1:3">
      <c r="A1149" s="10" t="s">
        <v>85</v>
      </c>
      <c r="B1149" s="2" t="s">
        <v>2280</v>
      </c>
      <c r="C1149" s="11" t="s">
        <v>2281</v>
      </c>
    </row>
    <row r="1150" spans="1:3">
      <c r="A1150" s="10" t="s">
        <v>85</v>
      </c>
      <c r="B1150" s="2" t="s">
        <v>2282</v>
      </c>
      <c r="C1150" s="11" t="s">
        <v>2283</v>
      </c>
    </row>
    <row r="1151" spans="1:3">
      <c r="A1151" s="10" t="s">
        <v>85</v>
      </c>
      <c r="B1151" s="2" t="s">
        <v>2284</v>
      </c>
      <c r="C1151" s="11" t="s">
        <v>2285</v>
      </c>
    </row>
    <row r="1152" spans="1:3">
      <c r="A1152" s="10" t="s">
        <v>85</v>
      </c>
      <c r="B1152" s="2" t="s">
        <v>572</v>
      </c>
      <c r="C1152" s="11" t="s">
        <v>573</v>
      </c>
    </row>
    <row r="1153" spans="1:3">
      <c r="A1153" s="10" t="s">
        <v>85</v>
      </c>
      <c r="B1153" s="2" t="s">
        <v>2286</v>
      </c>
      <c r="C1153" s="11" t="s">
        <v>2287</v>
      </c>
    </row>
    <row r="1154" spans="1:3">
      <c r="A1154" s="10" t="s">
        <v>85</v>
      </c>
      <c r="B1154" s="2" t="s">
        <v>2288</v>
      </c>
      <c r="C1154" s="11" t="s">
        <v>2289</v>
      </c>
    </row>
    <row r="1155" spans="1:3">
      <c r="A1155" s="10" t="s">
        <v>85</v>
      </c>
      <c r="B1155" s="2" t="s">
        <v>2290</v>
      </c>
      <c r="C1155" s="11" t="s">
        <v>395</v>
      </c>
    </row>
    <row r="1156" spans="1:3">
      <c r="A1156" s="10" t="s">
        <v>85</v>
      </c>
      <c r="B1156" s="2" t="s">
        <v>583</v>
      </c>
      <c r="C1156" s="11" t="s">
        <v>584</v>
      </c>
    </row>
    <row r="1157" spans="1:3">
      <c r="A1157" s="10" t="s">
        <v>85</v>
      </c>
      <c r="B1157" s="2" t="s">
        <v>2291</v>
      </c>
      <c r="C1157" s="11" t="s">
        <v>2292</v>
      </c>
    </row>
    <row r="1158" spans="1:3">
      <c r="A1158" s="10" t="s">
        <v>85</v>
      </c>
      <c r="B1158" s="2" t="s">
        <v>2293</v>
      </c>
      <c r="C1158" s="11" t="s">
        <v>2192</v>
      </c>
    </row>
    <row r="1159" spans="1:3">
      <c r="A1159" s="10" t="s">
        <v>85</v>
      </c>
      <c r="B1159" s="2" t="s">
        <v>2294</v>
      </c>
      <c r="C1159" s="11" t="s">
        <v>2295</v>
      </c>
    </row>
    <row r="1160" spans="1:3">
      <c r="A1160" s="10" t="s">
        <v>85</v>
      </c>
      <c r="B1160" s="2" t="s">
        <v>2296</v>
      </c>
      <c r="C1160" s="11" t="s">
        <v>365</v>
      </c>
    </row>
    <row r="1161" spans="1:3">
      <c r="A1161" s="10" t="s">
        <v>85</v>
      </c>
      <c r="B1161" s="2" t="s">
        <v>2297</v>
      </c>
      <c r="C1161" s="11" t="s">
        <v>2298</v>
      </c>
    </row>
    <row r="1162" spans="1:3">
      <c r="A1162" s="10" t="s">
        <v>85</v>
      </c>
      <c r="B1162" s="2" t="s">
        <v>2299</v>
      </c>
      <c r="C1162" s="11" t="s">
        <v>2300</v>
      </c>
    </row>
    <row r="1163" spans="1:3">
      <c r="A1163" s="10" t="s">
        <v>85</v>
      </c>
      <c r="B1163" s="2" t="s">
        <v>2301</v>
      </c>
      <c r="C1163" s="11" t="s">
        <v>2302</v>
      </c>
    </row>
    <row r="1164" spans="1:3">
      <c r="A1164" s="10" t="s">
        <v>85</v>
      </c>
      <c r="B1164" s="2" t="s">
        <v>2303</v>
      </c>
      <c r="C1164" s="11" t="s">
        <v>2304</v>
      </c>
    </row>
    <row r="1165" spans="1:3">
      <c r="A1165" s="10" t="s">
        <v>85</v>
      </c>
      <c r="B1165" s="2" t="s">
        <v>2305</v>
      </c>
      <c r="C1165" s="11" t="s">
        <v>2306</v>
      </c>
    </row>
    <row r="1166" spans="1:3">
      <c r="A1166" s="10" t="s">
        <v>85</v>
      </c>
      <c r="B1166" s="2" t="s">
        <v>2307</v>
      </c>
      <c r="C1166" s="11" t="s">
        <v>2308</v>
      </c>
    </row>
    <row r="1167" spans="1:3">
      <c r="A1167" s="10" t="s">
        <v>85</v>
      </c>
      <c r="B1167" s="2" t="s">
        <v>597</v>
      </c>
      <c r="C1167" s="11" t="s">
        <v>598</v>
      </c>
    </row>
    <row r="1168" spans="1:3">
      <c r="A1168" s="10" t="s">
        <v>85</v>
      </c>
      <c r="B1168" s="2" t="s">
        <v>2309</v>
      </c>
      <c r="C1168" s="11" t="s">
        <v>2310</v>
      </c>
    </row>
    <row r="1169" spans="1:3">
      <c r="A1169" s="10" t="s">
        <v>85</v>
      </c>
      <c r="B1169" s="2" t="s">
        <v>2311</v>
      </c>
      <c r="C1169" s="11" t="s">
        <v>2312</v>
      </c>
    </row>
    <row r="1170" spans="1:3">
      <c r="A1170" s="10" t="s">
        <v>85</v>
      </c>
      <c r="B1170" s="2" t="s">
        <v>2313</v>
      </c>
      <c r="C1170" s="11" t="s">
        <v>2314</v>
      </c>
    </row>
    <row r="1171" spans="1:3">
      <c r="A1171" s="10" t="s">
        <v>85</v>
      </c>
      <c r="B1171" s="2" t="s">
        <v>2315</v>
      </c>
      <c r="C1171" s="11" t="s">
        <v>467</v>
      </c>
    </row>
    <row r="1172" spans="1:3">
      <c r="A1172" s="10" t="s">
        <v>85</v>
      </c>
      <c r="B1172" s="2" t="s">
        <v>2316</v>
      </c>
      <c r="C1172" s="11" t="s">
        <v>287</v>
      </c>
    </row>
    <row r="1173" spans="1:3">
      <c r="A1173" s="10" t="s">
        <v>85</v>
      </c>
      <c r="B1173" s="2" t="s">
        <v>1384</v>
      </c>
      <c r="C1173" s="11" t="s">
        <v>1385</v>
      </c>
    </row>
    <row r="1174" spans="1:3">
      <c r="A1174" s="10" t="s">
        <v>85</v>
      </c>
      <c r="B1174" s="2" t="s">
        <v>2317</v>
      </c>
      <c r="C1174" s="11" t="s">
        <v>2318</v>
      </c>
    </row>
    <row r="1175" spans="1:3">
      <c r="A1175" s="10" t="s">
        <v>85</v>
      </c>
      <c r="B1175" s="2" t="s">
        <v>2319</v>
      </c>
      <c r="C1175" s="11" t="s">
        <v>2320</v>
      </c>
    </row>
    <row r="1176" spans="1:3">
      <c r="A1176" s="10" t="s">
        <v>85</v>
      </c>
      <c r="B1176" s="2" t="s">
        <v>2321</v>
      </c>
      <c r="C1176" s="11" t="s">
        <v>2322</v>
      </c>
    </row>
    <row r="1177" spans="1:3">
      <c r="A1177" s="10" t="s">
        <v>85</v>
      </c>
      <c r="B1177" s="2" t="s">
        <v>612</v>
      </c>
      <c r="C1177" s="11" t="s">
        <v>613</v>
      </c>
    </row>
    <row r="1178" spans="1:3">
      <c r="A1178" s="10" t="s">
        <v>85</v>
      </c>
      <c r="B1178" s="2" t="s">
        <v>2323</v>
      </c>
      <c r="C1178" s="11" t="s">
        <v>2324</v>
      </c>
    </row>
    <row r="1179" spans="1:3">
      <c r="A1179" s="10" t="s">
        <v>85</v>
      </c>
      <c r="B1179" s="2" t="s">
        <v>2325</v>
      </c>
      <c r="C1179" s="11" t="s">
        <v>2326</v>
      </c>
    </row>
    <row r="1180" spans="1:3">
      <c r="A1180" s="10" t="s">
        <v>85</v>
      </c>
      <c r="B1180" s="2" t="s">
        <v>2327</v>
      </c>
      <c r="C1180" s="11" t="s">
        <v>2328</v>
      </c>
    </row>
    <row r="1181" spans="1:3">
      <c r="A1181" s="10" t="s">
        <v>85</v>
      </c>
      <c r="B1181" s="2" t="s">
        <v>2329</v>
      </c>
      <c r="C1181" s="11" t="s">
        <v>467</v>
      </c>
    </row>
    <row r="1182" spans="1:3">
      <c r="A1182" s="10" t="s">
        <v>85</v>
      </c>
      <c r="B1182" s="2" t="s">
        <v>2330</v>
      </c>
      <c r="C1182" s="11" t="s">
        <v>2331</v>
      </c>
    </row>
    <row r="1183" spans="1:3">
      <c r="A1183" s="10" t="s">
        <v>85</v>
      </c>
      <c r="B1183" s="2" t="s">
        <v>2332</v>
      </c>
      <c r="C1183" s="11" t="s">
        <v>855</v>
      </c>
    </row>
    <row r="1184" spans="1:3">
      <c r="A1184" s="10" t="s">
        <v>85</v>
      </c>
      <c r="B1184" s="2" t="s">
        <v>2333</v>
      </c>
      <c r="C1184" s="11" t="s">
        <v>2334</v>
      </c>
    </row>
    <row r="1185" spans="1:3">
      <c r="A1185" s="10" t="s">
        <v>85</v>
      </c>
      <c r="B1185" s="2" t="s">
        <v>626</v>
      </c>
      <c r="C1185" s="11" t="s">
        <v>627</v>
      </c>
    </row>
    <row r="1186" spans="1:3">
      <c r="A1186" s="10" t="s">
        <v>85</v>
      </c>
      <c r="B1186" s="2" t="s">
        <v>2335</v>
      </c>
      <c r="C1186" s="11" t="s">
        <v>2336</v>
      </c>
    </row>
    <row r="1187" spans="1:3">
      <c r="A1187" s="10" t="s">
        <v>85</v>
      </c>
      <c r="B1187" s="2" t="s">
        <v>2337</v>
      </c>
      <c r="C1187" s="11" t="s">
        <v>2338</v>
      </c>
    </row>
    <row r="1188" spans="1:3">
      <c r="A1188" s="10" t="s">
        <v>85</v>
      </c>
      <c r="B1188" s="2" t="s">
        <v>2339</v>
      </c>
      <c r="C1188" s="11" t="s">
        <v>2340</v>
      </c>
    </row>
    <row r="1189" spans="1:3">
      <c r="A1189" s="10" t="s">
        <v>85</v>
      </c>
      <c r="B1189" s="2" t="s">
        <v>2341</v>
      </c>
      <c r="C1189" s="11" t="s">
        <v>2342</v>
      </c>
    </row>
    <row r="1190" spans="1:3">
      <c r="A1190" s="10" t="s">
        <v>85</v>
      </c>
      <c r="B1190" s="2" t="s">
        <v>2343</v>
      </c>
      <c r="C1190" s="11" t="s">
        <v>2344</v>
      </c>
    </row>
    <row r="1191" spans="1:3">
      <c r="A1191" s="10" t="s">
        <v>85</v>
      </c>
      <c r="B1191" s="2" t="s">
        <v>2345</v>
      </c>
      <c r="C1191" s="11" t="s">
        <v>2346</v>
      </c>
    </row>
    <row r="1192" spans="1:3">
      <c r="A1192" s="10" t="s">
        <v>85</v>
      </c>
      <c r="B1192" s="2" t="s">
        <v>2347</v>
      </c>
      <c r="C1192" s="11" t="s">
        <v>2348</v>
      </c>
    </row>
    <row r="1193" spans="1:3">
      <c r="A1193" s="10" t="s">
        <v>85</v>
      </c>
      <c r="B1193" s="2" t="s">
        <v>2349</v>
      </c>
      <c r="C1193" s="11" t="s">
        <v>2350</v>
      </c>
    </row>
    <row r="1194" spans="1:3">
      <c r="A1194" s="10" t="s">
        <v>85</v>
      </c>
      <c r="B1194" s="2" t="s">
        <v>639</v>
      </c>
      <c r="C1194" s="11" t="s">
        <v>483</v>
      </c>
    </row>
    <row r="1195" spans="1:3">
      <c r="A1195" s="10" t="s">
        <v>85</v>
      </c>
      <c r="B1195" s="2" t="s">
        <v>2351</v>
      </c>
      <c r="C1195" s="11" t="s">
        <v>2352</v>
      </c>
    </row>
    <row r="1196" spans="1:3">
      <c r="A1196" s="10" t="s">
        <v>85</v>
      </c>
      <c r="B1196" s="2" t="s">
        <v>2353</v>
      </c>
      <c r="C1196" s="11" t="s">
        <v>2354</v>
      </c>
    </row>
    <row r="1197" spans="1:3">
      <c r="A1197" s="10" t="s">
        <v>85</v>
      </c>
      <c r="B1197" s="2" t="s">
        <v>2355</v>
      </c>
      <c r="C1197" s="11" t="s">
        <v>2356</v>
      </c>
    </row>
    <row r="1198" spans="1:3">
      <c r="A1198" s="10" t="s">
        <v>85</v>
      </c>
      <c r="B1198" s="2" t="s">
        <v>2357</v>
      </c>
      <c r="C1198" s="11" t="s">
        <v>2358</v>
      </c>
    </row>
    <row r="1199" spans="1:3">
      <c r="A1199" s="10" t="s">
        <v>85</v>
      </c>
      <c r="B1199" s="2" t="s">
        <v>2359</v>
      </c>
      <c r="C1199" s="11" t="s">
        <v>1523</v>
      </c>
    </row>
    <row r="1200" spans="1:3">
      <c r="A1200" s="10" t="s">
        <v>85</v>
      </c>
      <c r="B1200" s="2" t="s">
        <v>2360</v>
      </c>
      <c r="C1200" s="11" t="s">
        <v>2361</v>
      </c>
    </row>
    <row r="1201" spans="1:3">
      <c r="A1201" s="10" t="s">
        <v>85</v>
      </c>
      <c r="B1201" s="2" t="s">
        <v>1438</v>
      </c>
      <c r="C1201" s="11" t="s">
        <v>1439</v>
      </c>
    </row>
    <row r="1202" spans="1:3">
      <c r="A1202" s="10" t="s">
        <v>85</v>
      </c>
      <c r="B1202" s="2" t="s">
        <v>2362</v>
      </c>
      <c r="C1202" s="11" t="s">
        <v>2363</v>
      </c>
    </row>
    <row r="1203" spans="1:3">
      <c r="A1203" s="10" t="s">
        <v>85</v>
      </c>
      <c r="B1203" s="2" t="s">
        <v>2364</v>
      </c>
      <c r="C1203" s="11" t="s">
        <v>2365</v>
      </c>
    </row>
    <row r="1204" spans="1:3">
      <c r="A1204" s="10" t="s">
        <v>85</v>
      </c>
      <c r="B1204" s="2" t="s">
        <v>2366</v>
      </c>
      <c r="C1204" s="11" t="s">
        <v>2367</v>
      </c>
    </row>
    <row r="1205" spans="1:3">
      <c r="A1205" s="10" t="s">
        <v>85</v>
      </c>
      <c r="B1205" s="2" t="s">
        <v>2368</v>
      </c>
      <c r="C1205" s="11" t="s">
        <v>2369</v>
      </c>
    </row>
    <row r="1206" spans="1:3">
      <c r="A1206" s="10" t="s">
        <v>85</v>
      </c>
      <c r="B1206" s="2" t="s">
        <v>2370</v>
      </c>
      <c r="C1206" s="11" t="s">
        <v>2371</v>
      </c>
    </row>
    <row r="1207" spans="1:3">
      <c r="A1207" s="10" t="s">
        <v>85</v>
      </c>
      <c r="B1207" s="2" t="s">
        <v>2372</v>
      </c>
      <c r="C1207" s="11" t="s">
        <v>2373</v>
      </c>
    </row>
    <row r="1208" spans="1:3">
      <c r="A1208" s="10" t="s">
        <v>85</v>
      </c>
      <c r="B1208" s="2" t="s">
        <v>2374</v>
      </c>
      <c r="C1208" s="11" t="s">
        <v>2375</v>
      </c>
    </row>
    <row r="1209" spans="1:3">
      <c r="A1209" s="10" t="s">
        <v>85</v>
      </c>
      <c r="B1209" s="2" t="s">
        <v>2376</v>
      </c>
      <c r="C1209" s="11" t="s">
        <v>2377</v>
      </c>
    </row>
    <row r="1210" spans="1:3">
      <c r="A1210" s="10" t="s">
        <v>85</v>
      </c>
      <c r="B1210" s="2" t="s">
        <v>2378</v>
      </c>
      <c r="C1210" s="11" t="s">
        <v>2379</v>
      </c>
    </row>
    <row r="1211" spans="1:3">
      <c r="A1211" s="10" t="s">
        <v>85</v>
      </c>
      <c r="B1211" s="2" t="s">
        <v>2380</v>
      </c>
      <c r="C1211" s="11" t="s">
        <v>2381</v>
      </c>
    </row>
    <row r="1212" spans="1:3">
      <c r="A1212" s="10" t="s">
        <v>85</v>
      </c>
      <c r="B1212" s="2" t="s">
        <v>2382</v>
      </c>
      <c r="C1212" s="11" t="s">
        <v>2383</v>
      </c>
    </row>
    <row r="1213" spans="1:3">
      <c r="A1213" s="10" t="s">
        <v>85</v>
      </c>
      <c r="B1213" s="2" t="s">
        <v>2384</v>
      </c>
      <c r="C1213" s="11" t="s">
        <v>2385</v>
      </c>
    </row>
    <row r="1214" spans="1:3">
      <c r="A1214" s="10" t="s">
        <v>85</v>
      </c>
      <c r="B1214" s="2" t="s">
        <v>2386</v>
      </c>
      <c r="C1214" s="11" t="s">
        <v>2387</v>
      </c>
    </row>
    <row r="1215" spans="1:3">
      <c r="A1215" s="10" t="s">
        <v>85</v>
      </c>
      <c r="B1215" s="2" t="s">
        <v>2388</v>
      </c>
      <c r="C1215" s="11" t="s">
        <v>2389</v>
      </c>
    </row>
    <row r="1216" spans="1:3">
      <c r="A1216" s="10" t="s">
        <v>85</v>
      </c>
      <c r="B1216" s="2" t="s">
        <v>2390</v>
      </c>
      <c r="C1216" s="11" t="s">
        <v>2391</v>
      </c>
    </row>
    <row r="1217" spans="1:3">
      <c r="A1217" s="10" t="s">
        <v>85</v>
      </c>
      <c r="B1217" s="2" t="s">
        <v>2392</v>
      </c>
      <c r="C1217" s="11" t="s">
        <v>2393</v>
      </c>
    </row>
    <row r="1218" spans="1:3">
      <c r="A1218" s="10" t="s">
        <v>85</v>
      </c>
      <c r="B1218" s="2" t="s">
        <v>2394</v>
      </c>
      <c r="C1218" s="11" t="s">
        <v>2395</v>
      </c>
    </row>
    <row r="1219" spans="1:3">
      <c r="A1219" s="10" t="s">
        <v>85</v>
      </c>
      <c r="B1219" s="2" t="s">
        <v>2396</v>
      </c>
      <c r="C1219" s="11" t="s">
        <v>483</v>
      </c>
    </row>
    <row r="1220" spans="1:3">
      <c r="A1220" s="10" t="s">
        <v>85</v>
      </c>
      <c r="B1220" s="2" t="s">
        <v>659</v>
      </c>
      <c r="C1220" s="11" t="s">
        <v>660</v>
      </c>
    </row>
    <row r="1221" spans="1:3">
      <c r="A1221" s="10" t="s">
        <v>85</v>
      </c>
      <c r="B1221" s="2" t="s">
        <v>2397</v>
      </c>
      <c r="C1221" s="11" t="s">
        <v>2398</v>
      </c>
    </row>
    <row r="1222" spans="1:3">
      <c r="A1222" s="10" t="s">
        <v>85</v>
      </c>
      <c r="B1222" s="2" t="s">
        <v>2399</v>
      </c>
      <c r="C1222" s="11" t="s">
        <v>2400</v>
      </c>
    </row>
    <row r="1223" spans="1:3">
      <c r="A1223" s="10" t="s">
        <v>85</v>
      </c>
      <c r="B1223" s="2" t="s">
        <v>2401</v>
      </c>
      <c r="C1223" s="11" t="s">
        <v>2402</v>
      </c>
    </row>
    <row r="1224" spans="1:3">
      <c r="A1224" s="10" t="s">
        <v>85</v>
      </c>
      <c r="B1224" s="2" t="s">
        <v>2403</v>
      </c>
      <c r="C1224" s="11" t="s">
        <v>383</v>
      </c>
    </row>
    <row r="1225" spans="1:3">
      <c r="A1225" s="10" t="s">
        <v>85</v>
      </c>
      <c r="B1225" s="2" t="s">
        <v>669</v>
      </c>
      <c r="C1225" s="11" t="s">
        <v>670</v>
      </c>
    </row>
    <row r="1226" spans="1:3">
      <c r="A1226" s="10" t="s">
        <v>85</v>
      </c>
      <c r="B1226" s="2" t="s">
        <v>2404</v>
      </c>
      <c r="C1226" s="11" t="s">
        <v>2405</v>
      </c>
    </row>
    <row r="1227" spans="1:3">
      <c r="A1227" s="10" t="s">
        <v>85</v>
      </c>
      <c r="B1227" s="2" t="s">
        <v>2406</v>
      </c>
      <c r="C1227" s="11" t="s">
        <v>2407</v>
      </c>
    </row>
    <row r="1228" spans="1:3">
      <c r="A1228" s="10" t="s">
        <v>85</v>
      </c>
      <c r="B1228" s="2" t="s">
        <v>2408</v>
      </c>
      <c r="C1228" s="11" t="s">
        <v>2409</v>
      </c>
    </row>
    <row r="1229" spans="1:3">
      <c r="A1229" s="10" t="s">
        <v>85</v>
      </c>
      <c r="B1229" s="2" t="s">
        <v>2410</v>
      </c>
      <c r="C1229" s="11" t="s">
        <v>823</v>
      </c>
    </row>
    <row r="1230" spans="1:3">
      <c r="A1230" s="10" t="s">
        <v>85</v>
      </c>
      <c r="B1230" s="2" t="s">
        <v>2411</v>
      </c>
      <c r="C1230" s="11" t="s">
        <v>2412</v>
      </c>
    </row>
    <row r="1231" spans="1:3">
      <c r="A1231" s="10" t="s">
        <v>85</v>
      </c>
      <c r="B1231" s="2" t="s">
        <v>2413</v>
      </c>
      <c r="C1231" s="11" t="s">
        <v>2414</v>
      </c>
    </row>
    <row r="1232" spans="1:3">
      <c r="A1232" s="10" t="s">
        <v>85</v>
      </c>
      <c r="B1232" s="2" t="s">
        <v>2415</v>
      </c>
      <c r="C1232" s="11" t="s">
        <v>2416</v>
      </c>
    </row>
    <row r="1233" spans="1:3">
      <c r="A1233" s="10" t="s">
        <v>85</v>
      </c>
      <c r="B1233" s="2" t="s">
        <v>2417</v>
      </c>
      <c r="C1233" s="11" t="s">
        <v>2418</v>
      </c>
    </row>
    <row r="1234" spans="1:3">
      <c r="A1234" s="10" t="s">
        <v>85</v>
      </c>
      <c r="B1234" s="2" t="s">
        <v>2419</v>
      </c>
      <c r="C1234" s="11" t="s">
        <v>2420</v>
      </c>
    </row>
    <row r="1235" spans="1:3">
      <c r="A1235" s="10" t="s">
        <v>85</v>
      </c>
      <c r="B1235" s="2" t="s">
        <v>2421</v>
      </c>
      <c r="C1235" s="11" t="s">
        <v>2422</v>
      </c>
    </row>
    <row r="1236" spans="1:3">
      <c r="A1236" s="10" t="s">
        <v>85</v>
      </c>
      <c r="B1236" s="2" t="s">
        <v>2423</v>
      </c>
      <c r="C1236" s="11" t="s">
        <v>2424</v>
      </c>
    </row>
    <row r="1237" spans="1:3">
      <c r="A1237" s="10" t="s">
        <v>85</v>
      </c>
      <c r="B1237" s="2" t="s">
        <v>2425</v>
      </c>
      <c r="C1237" s="11" t="s">
        <v>833</v>
      </c>
    </row>
    <row r="1238" spans="1:3">
      <c r="A1238" s="10" t="s">
        <v>85</v>
      </c>
      <c r="B1238" s="2" t="s">
        <v>2426</v>
      </c>
      <c r="C1238" s="11" t="s">
        <v>2427</v>
      </c>
    </row>
    <row r="1239" spans="1:3">
      <c r="A1239" s="10" t="s">
        <v>85</v>
      </c>
      <c r="B1239" s="2" t="s">
        <v>2428</v>
      </c>
      <c r="C1239" s="11" t="s">
        <v>2429</v>
      </c>
    </row>
    <row r="1240" spans="1:3">
      <c r="A1240" s="10" t="s">
        <v>85</v>
      </c>
      <c r="B1240" s="2" t="s">
        <v>2430</v>
      </c>
      <c r="C1240" s="11" t="s">
        <v>2431</v>
      </c>
    </row>
    <row r="1241" spans="1:3">
      <c r="A1241" s="10" t="s">
        <v>85</v>
      </c>
      <c r="B1241" s="2" t="s">
        <v>2432</v>
      </c>
      <c r="C1241" s="11" t="s">
        <v>2433</v>
      </c>
    </row>
    <row r="1242" spans="1:3">
      <c r="A1242" s="10" t="s">
        <v>85</v>
      </c>
      <c r="B1242" s="2" t="s">
        <v>2434</v>
      </c>
      <c r="C1242" s="11" t="s">
        <v>2435</v>
      </c>
    </row>
    <row r="1243" spans="1:3">
      <c r="A1243" s="10" t="s">
        <v>85</v>
      </c>
      <c r="B1243" s="2" t="s">
        <v>2436</v>
      </c>
      <c r="C1243" s="11" t="s">
        <v>2437</v>
      </c>
    </row>
    <row r="1244" spans="1:3">
      <c r="A1244" s="10" t="s">
        <v>85</v>
      </c>
      <c r="B1244" s="2" t="s">
        <v>2438</v>
      </c>
      <c r="C1244" s="11" t="s">
        <v>2439</v>
      </c>
    </row>
    <row r="1245" spans="1:3">
      <c r="A1245" s="10" t="s">
        <v>85</v>
      </c>
      <c r="B1245" s="2" t="s">
        <v>2440</v>
      </c>
      <c r="C1245" s="11" t="s">
        <v>2441</v>
      </c>
    </row>
    <row r="1246" spans="1:3">
      <c r="A1246" s="10" t="s">
        <v>85</v>
      </c>
      <c r="B1246" s="2" t="s">
        <v>699</v>
      </c>
      <c r="C1246" s="11" t="s">
        <v>700</v>
      </c>
    </row>
    <row r="1247" spans="1:3">
      <c r="A1247" s="10" t="s">
        <v>85</v>
      </c>
      <c r="B1247" s="2" t="s">
        <v>2442</v>
      </c>
      <c r="C1247" s="11" t="s">
        <v>2443</v>
      </c>
    </row>
    <row r="1248" spans="1:3">
      <c r="A1248" s="10" t="s">
        <v>85</v>
      </c>
      <c r="B1248" s="2" t="s">
        <v>2444</v>
      </c>
      <c r="C1248" s="11" t="s">
        <v>2445</v>
      </c>
    </row>
    <row r="1249" spans="1:3">
      <c r="A1249" s="10" t="s">
        <v>85</v>
      </c>
      <c r="B1249" s="2" t="s">
        <v>1489</v>
      </c>
      <c r="C1249" s="11" t="s">
        <v>287</v>
      </c>
    </row>
    <row r="1250" spans="1:3">
      <c r="A1250" s="10" t="s">
        <v>85</v>
      </c>
      <c r="B1250" s="2" t="s">
        <v>2446</v>
      </c>
      <c r="C1250" s="11" t="s">
        <v>2447</v>
      </c>
    </row>
    <row r="1251" spans="1:3">
      <c r="A1251" s="10" t="s">
        <v>85</v>
      </c>
      <c r="B1251" s="2" t="s">
        <v>2448</v>
      </c>
      <c r="C1251" s="11" t="s">
        <v>2449</v>
      </c>
    </row>
    <row r="1252" spans="1:3">
      <c r="A1252" s="10" t="s">
        <v>85</v>
      </c>
      <c r="B1252" s="2" t="s">
        <v>2450</v>
      </c>
      <c r="C1252" s="11" t="s">
        <v>2451</v>
      </c>
    </row>
    <row r="1253" spans="1:3">
      <c r="A1253" s="10" t="s">
        <v>85</v>
      </c>
      <c r="B1253" s="2" t="s">
        <v>2452</v>
      </c>
      <c r="C1253" s="11" t="s">
        <v>2453</v>
      </c>
    </row>
    <row r="1254" spans="1:3">
      <c r="A1254" s="10" t="s">
        <v>85</v>
      </c>
      <c r="B1254" s="2" t="s">
        <v>2454</v>
      </c>
      <c r="C1254" s="11" t="s">
        <v>2455</v>
      </c>
    </row>
    <row r="1255" spans="1:3">
      <c r="A1255" s="10" t="s">
        <v>85</v>
      </c>
      <c r="B1255" s="2" t="s">
        <v>2456</v>
      </c>
      <c r="C1255" s="11" t="s">
        <v>2457</v>
      </c>
    </row>
    <row r="1256" spans="1:3">
      <c r="A1256" s="10" t="s">
        <v>85</v>
      </c>
      <c r="B1256" s="2" t="s">
        <v>1496</v>
      </c>
      <c r="C1256" s="11" t="s">
        <v>1497</v>
      </c>
    </row>
    <row r="1257" spans="1:3">
      <c r="A1257" s="10" t="s">
        <v>85</v>
      </c>
      <c r="B1257" s="2" t="s">
        <v>2458</v>
      </c>
      <c r="C1257" s="11" t="s">
        <v>2459</v>
      </c>
    </row>
    <row r="1258" spans="1:3">
      <c r="A1258" s="10" t="s">
        <v>85</v>
      </c>
      <c r="B1258" s="2" t="s">
        <v>2460</v>
      </c>
      <c r="C1258" s="11" t="s">
        <v>467</v>
      </c>
    </row>
    <row r="1259" spans="1:3">
      <c r="A1259" s="10" t="s">
        <v>85</v>
      </c>
      <c r="B1259" s="2" t="s">
        <v>2461</v>
      </c>
      <c r="C1259" s="11" t="s">
        <v>2462</v>
      </c>
    </row>
    <row r="1260" spans="1:3">
      <c r="A1260" s="10" t="s">
        <v>85</v>
      </c>
      <c r="B1260" s="2" t="s">
        <v>2463</v>
      </c>
      <c r="C1260" s="11" t="s">
        <v>2464</v>
      </c>
    </row>
    <row r="1261" spans="1:3">
      <c r="A1261" s="10" t="s">
        <v>85</v>
      </c>
      <c r="B1261" s="2" t="s">
        <v>1512</v>
      </c>
      <c r="C1261" s="11" t="s">
        <v>1513</v>
      </c>
    </row>
    <row r="1262" spans="1:3">
      <c r="A1262" s="10" t="s">
        <v>85</v>
      </c>
      <c r="B1262" s="2" t="s">
        <v>2465</v>
      </c>
      <c r="C1262" s="11" t="s">
        <v>2466</v>
      </c>
    </row>
    <row r="1263" spans="1:3">
      <c r="A1263" s="10" t="s">
        <v>85</v>
      </c>
      <c r="B1263" s="2" t="s">
        <v>2467</v>
      </c>
      <c r="C1263" s="11" t="s">
        <v>2468</v>
      </c>
    </row>
    <row r="1264" spans="1:3">
      <c r="A1264" s="10" t="s">
        <v>85</v>
      </c>
      <c r="B1264" s="2" t="s">
        <v>2469</v>
      </c>
      <c r="C1264" s="11" t="s">
        <v>2470</v>
      </c>
    </row>
    <row r="1265" spans="1:3">
      <c r="A1265" s="10" t="s">
        <v>85</v>
      </c>
      <c r="B1265" s="2" t="s">
        <v>2471</v>
      </c>
      <c r="C1265" s="11" t="s">
        <v>2472</v>
      </c>
    </row>
    <row r="1266" spans="1:3">
      <c r="A1266" s="10" t="s">
        <v>85</v>
      </c>
      <c r="B1266" s="2" t="s">
        <v>2473</v>
      </c>
      <c r="C1266" s="11" t="s">
        <v>2474</v>
      </c>
    </row>
    <row r="1267" spans="1:3">
      <c r="A1267" s="10" t="s">
        <v>85</v>
      </c>
      <c r="B1267" s="2" t="s">
        <v>2475</v>
      </c>
      <c r="C1267" s="11" t="s">
        <v>2476</v>
      </c>
    </row>
    <row r="1268" spans="1:3">
      <c r="A1268" s="10" t="s">
        <v>85</v>
      </c>
      <c r="B1268" s="2" t="s">
        <v>2477</v>
      </c>
      <c r="C1268" s="11" t="s">
        <v>287</v>
      </c>
    </row>
    <row r="1269" spans="1:3">
      <c r="A1269" s="10" t="s">
        <v>85</v>
      </c>
      <c r="B1269" s="2" t="s">
        <v>2478</v>
      </c>
      <c r="C1269" s="11" t="s">
        <v>2479</v>
      </c>
    </row>
    <row r="1270" spans="1:3">
      <c r="A1270" s="10" t="s">
        <v>85</v>
      </c>
      <c r="B1270" s="2" t="s">
        <v>2480</v>
      </c>
      <c r="C1270" s="11" t="s">
        <v>2481</v>
      </c>
    </row>
    <row r="1271" spans="1:3">
      <c r="A1271" s="10" t="s">
        <v>85</v>
      </c>
      <c r="B1271" s="2" t="s">
        <v>2482</v>
      </c>
      <c r="C1271" s="11" t="s">
        <v>2483</v>
      </c>
    </row>
    <row r="1272" spans="1:3">
      <c r="A1272" s="10" t="s">
        <v>85</v>
      </c>
      <c r="B1272" s="2" t="s">
        <v>2484</v>
      </c>
      <c r="C1272" s="11" t="s">
        <v>2485</v>
      </c>
    </row>
    <row r="1273" spans="1:3">
      <c r="A1273" s="10" t="s">
        <v>85</v>
      </c>
      <c r="B1273" s="2" t="s">
        <v>2486</v>
      </c>
      <c r="C1273" s="11" t="s">
        <v>2487</v>
      </c>
    </row>
    <row r="1274" spans="1:3">
      <c r="A1274" s="10" t="s">
        <v>85</v>
      </c>
      <c r="B1274" s="2" t="s">
        <v>729</v>
      </c>
      <c r="C1274" s="11" t="s">
        <v>730</v>
      </c>
    </row>
    <row r="1275" spans="1:3">
      <c r="A1275" s="10" t="s">
        <v>85</v>
      </c>
      <c r="B1275" s="2" t="s">
        <v>1530</v>
      </c>
      <c r="C1275" s="11" t="s">
        <v>1531</v>
      </c>
    </row>
    <row r="1276" spans="1:3">
      <c r="A1276" s="10" t="s">
        <v>85</v>
      </c>
      <c r="B1276" s="2" t="s">
        <v>2488</v>
      </c>
      <c r="C1276" s="11" t="s">
        <v>2489</v>
      </c>
    </row>
    <row r="1277" spans="1:3">
      <c r="A1277" s="10" t="s">
        <v>85</v>
      </c>
      <c r="B1277" s="2" t="s">
        <v>1532</v>
      </c>
      <c r="C1277" s="11" t="s">
        <v>1533</v>
      </c>
    </row>
    <row r="1278" spans="1:3">
      <c r="A1278" s="10" t="s">
        <v>85</v>
      </c>
      <c r="B1278" s="2" t="s">
        <v>2490</v>
      </c>
      <c r="C1278" s="11" t="s">
        <v>2491</v>
      </c>
    </row>
    <row r="1279" spans="1:3">
      <c r="A1279" s="10" t="s">
        <v>85</v>
      </c>
      <c r="B1279" s="2" t="s">
        <v>2492</v>
      </c>
      <c r="C1279" s="11" t="s">
        <v>2493</v>
      </c>
    </row>
    <row r="1280" spans="1:3">
      <c r="A1280" s="10" t="s">
        <v>85</v>
      </c>
      <c r="B1280" s="2" t="s">
        <v>2494</v>
      </c>
      <c r="C1280" s="11" t="s">
        <v>2495</v>
      </c>
    </row>
    <row r="1281" spans="1:3">
      <c r="A1281" s="10" t="s">
        <v>85</v>
      </c>
      <c r="B1281" s="2" t="s">
        <v>2496</v>
      </c>
      <c r="C1281" s="11" t="s">
        <v>2497</v>
      </c>
    </row>
    <row r="1282" spans="1:3">
      <c r="A1282" s="10" t="s">
        <v>85</v>
      </c>
      <c r="B1282" s="2" t="s">
        <v>2498</v>
      </c>
      <c r="C1282" s="11" t="s">
        <v>2499</v>
      </c>
    </row>
    <row r="1283" spans="1:3">
      <c r="A1283" s="10" t="s">
        <v>85</v>
      </c>
      <c r="B1283" s="2" t="s">
        <v>2500</v>
      </c>
      <c r="C1283" s="11" t="s">
        <v>2501</v>
      </c>
    </row>
    <row r="1284" spans="1:3">
      <c r="A1284" s="10" t="s">
        <v>85</v>
      </c>
      <c r="B1284" s="2" t="s">
        <v>2502</v>
      </c>
      <c r="C1284" s="11" t="s">
        <v>2503</v>
      </c>
    </row>
    <row r="1285" spans="1:3">
      <c r="A1285" s="10" t="s">
        <v>85</v>
      </c>
      <c r="B1285" s="2" t="s">
        <v>2504</v>
      </c>
      <c r="C1285" s="11" t="s">
        <v>2505</v>
      </c>
    </row>
    <row r="1286" spans="1:3">
      <c r="A1286" s="10" t="s">
        <v>85</v>
      </c>
      <c r="B1286" s="2" t="s">
        <v>737</v>
      </c>
      <c r="C1286" s="11" t="s">
        <v>738</v>
      </c>
    </row>
    <row r="1287" spans="1:3">
      <c r="A1287" s="10" t="s">
        <v>85</v>
      </c>
      <c r="B1287" s="2" t="s">
        <v>1542</v>
      </c>
      <c r="C1287" s="11" t="s">
        <v>1543</v>
      </c>
    </row>
    <row r="1288" spans="1:3">
      <c r="A1288" s="10" t="s">
        <v>85</v>
      </c>
      <c r="B1288" s="2" t="s">
        <v>2506</v>
      </c>
      <c r="C1288" s="11" t="s">
        <v>2507</v>
      </c>
    </row>
    <row r="1289" spans="1:3">
      <c r="A1289" s="10" t="s">
        <v>85</v>
      </c>
      <c r="B1289" s="2" t="s">
        <v>2508</v>
      </c>
      <c r="C1289" s="11" t="s">
        <v>2509</v>
      </c>
    </row>
    <row r="1290" spans="1:3">
      <c r="A1290" s="10" t="s">
        <v>85</v>
      </c>
      <c r="B1290" s="2" t="s">
        <v>2510</v>
      </c>
      <c r="C1290" s="11" t="s">
        <v>2511</v>
      </c>
    </row>
    <row r="1291" spans="1:3">
      <c r="A1291" s="10" t="s">
        <v>85</v>
      </c>
      <c r="B1291" s="2" t="s">
        <v>745</v>
      </c>
      <c r="C1291" s="11" t="s">
        <v>746</v>
      </c>
    </row>
    <row r="1292" spans="1:3">
      <c r="A1292" s="10" t="s">
        <v>85</v>
      </c>
      <c r="B1292" s="2" t="s">
        <v>2512</v>
      </c>
      <c r="C1292" s="11" t="s">
        <v>2513</v>
      </c>
    </row>
    <row r="1293" spans="1:3">
      <c r="A1293" s="10" t="s">
        <v>85</v>
      </c>
      <c r="B1293" s="2" t="s">
        <v>2514</v>
      </c>
      <c r="C1293" s="11" t="s">
        <v>2515</v>
      </c>
    </row>
    <row r="1294" spans="1:3">
      <c r="A1294" s="10" t="s">
        <v>85</v>
      </c>
      <c r="B1294" s="2" t="s">
        <v>2516</v>
      </c>
      <c r="C1294" s="11" t="s">
        <v>2517</v>
      </c>
    </row>
    <row r="1295" spans="1:3">
      <c r="A1295" s="10" t="s">
        <v>85</v>
      </c>
      <c r="B1295" s="2" t="s">
        <v>2518</v>
      </c>
      <c r="C1295" s="11" t="s">
        <v>2519</v>
      </c>
    </row>
    <row r="1296" spans="1:3">
      <c r="A1296" s="10" t="s">
        <v>85</v>
      </c>
      <c r="B1296" s="2" t="s">
        <v>1552</v>
      </c>
      <c r="C1296" s="11" t="s">
        <v>1553</v>
      </c>
    </row>
    <row r="1297" spans="1:3">
      <c r="A1297" s="10" t="s">
        <v>85</v>
      </c>
      <c r="B1297" s="2" t="s">
        <v>2520</v>
      </c>
      <c r="C1297" s="11" t="s">
        <v>2521</v>
      </c>
    </row>
    <row r="1298" spans="1:3">
      <c r="A1298" s="10" t="s">
        <v>85</v>
      </c>
      <c r="B1298" s="2" t="s">
        <v>2522</v>
      </c>
      <c r="C1298" s="11" t="s">
        <v>855</v>
      </c>
    </row>
    <row r="1299" spans="1:3">
      <c r="A1299" s="10" t="s">
        <v>85</v>
      </c>
      <c r="B1299" s="2" t="s">
        <v>2523</v>
      </c>
      <c r="C1299" s="11" t="s">
        <v>2524</v>
      </c>
    </row>
    <row r="1300" spans="1:3">
      <c r="A1300" s="10" t="s">
        <v>85</v>
      </c>
      <c r="B1300" s="2" t="s">
        <v>2525</v>
      </c>
      <c r="C1300" s="11" t="s">
        <v>2526</v>
      </c>
    </row>
    <row r="1301" spans="1:3">
      <c r="A1301" s="10" t="s">
        <v>85</v>
      </c>
      <c r="B1301" s="2" t="s">
        <v>1568</v>
      </c>
      <c r="C1301" s="11" t="s">
        <v>1569</v>
      </c>
    </row>
    <row r="1302" spans="1:3">
      <c r="A1302" s="10" t="s">
        <v>85</v>
      </c>
      <c r="B1302" s="2" t="s">
        <v>753</v>
      </c>
      <c r="C1302" s="11" t="s">
        <v>754</v>
      </c>
    </row>
    <row r="1303" spans="1:3">
      <c r="A1303" s="10" t="s">
        <v>85</v>
      </c>
      <c r="B1303" s="2" t="s">
        <v>2527</v>
      </c>
      <c r="C1303" s="11" t="s">
        <v>2528</v>
      </c>
    </row>
    <row r="1304" spans="1:3">
      <c r="A1304" s="10" t="s">
        <v>85</v>
      </c>
      <c r="B1304" s="2" t="s">
        <v>2529</v>
      </c>
      <c r="C1304" s="11" t="s">
        <v>467</v>
      </c>
    </row>
    <row r="1305" spans="1:3">
      <c r="A1305" s="10" t="s">
        <v>85</v>
      </c>
      <c r="B1305" s="2" t="s">
        <v>2530</v>
      </c>
      <c r="C1305" s="11" t="s">
        <v>2531</v>
      </c>
    </row>
    <row r="1306" spans="1:3">
      <c r="A1306" s="10" t="s">
        <v>85</v>
      </c>
      <c r="B1306" s="2" t="s">
        <v>760</v>
      </c>
      <c r="C1306" s="11" t="s">
        <v>761</v>
      </c>
    </row>
    <row r="1307" spans="1:3">
      <c r="A1307" s="10" t="s">
        <v>85</v>
      </c>
      <c r="B1307" s="2" t="s">
        <v>2532</v>
      </c>
      <c r="C1307" s="11" t="s">
        <v>2533</v>
      </c>
    </row>
    <row r="1308" spans="1:3">
      <c r="A1308" s="10" t="s">
        <v>85</v>
      </c>
      <c r="B1308" s="2" t="s">
        <v>2534</v>
      </c>
      <c r="C1308" s="11" t="s">
        <v>2535</v>
      </c>
    </row>
    <row r="1309" spans="1:3">
      <c r="A1309" s="10" t="s">
        <v>85</v>
      </c>
      <c r="B1309" s="2" t="s">
        <v>762</v>
      </c>
      <c r="C1309" s="11" t="s">
        <v>763</v>
      </c>
    </row>
    <row r="1310" spans="1:3">
      <c r="A1310" s="10" t="s">
        <v>85</v>
      </c>
      <c r="B1310" s="2" t="s">
        <v>1577</v>
      </c>
      <c r="C1310" s="11" t="s">
        <v>1578</v>
      </c>
    </row>
    <row r="1311" spans="1:3">
      <c r="A1311" s="10" t="s">
        <v>85</v>
      </c>
      <c r="B1311" s="2" t="s">
        <v>2536</v>
      </c>
      <c r="C1311" s="11" t="s">
        <v>2537</v>
      </c>
    </row>
    <row r="1312" spans="1:3">
      <c r="A1312" s="10" t="s">
        <v>85</v>
      </c>
      <c r="B1312" s="2" t="s">
        <v>2538</v>
      </c>
      <c r="C1312" s="11" t="s">
        <v>2539</v>
      </c>
    </row>
    <row r="1313" spans="1:3">
      <c r="A1313" s="10" t="s">
        <v>85</v>
      </c>
      <c r="B1313" s="2" t="s">
        <v>2540</v>
      </c>
      <c r="C1313" s="11" t="s">
        <v>483</v>
      </c>
    </row>
    <row r="1314" spans="1:3">
      <c r="A1314" s="10" t="s">
        <v>85</v>
      </c>
      <c r="B1314" s="2" t="s">
        <v>2541</v>
      </c>
      <c r="C1314" s="11" t="s">
        <v>2542</v>
      </c>
    </row>
    <row r="1315" spans="1:3">
      <c r="A1315" s="10" t="s">
        <v>85</v>
      </c>
      <c r="B1315" s="2" t="s">
        <v>2543</v>
      </c>
      <c r="C1315" s="11" t="s">
        <v>2544</v>
      </c>
    </row>
    <row r="1316" spans="1:3">
      <c r="A1316" s="10" t="s">
        <v>85</v>
      </c>
      <c r="B1316" s="2" t="s">
        <v>2545</v>
      </c>
      <c r="C1316" s="11" t="s">
        <v>2546</v>
      </c>
    </row>
    <row r="1317" spans="1:3">
      <c r="A1317" s="10" t="s">
        <v>85</v>
      </c>
      <c r="B1317" s="2" t="s">
        <v>2547</v>
      </c>
      <c r="C1317" s="11" t="s">
        <v>2548</v>
      </c>
    </row>
    <row r="1318" spans="1:3">
      <c r="A1318" s="10" t="s">
        <v>85</v>
      </c>
      <c r="B1318" s="2" t="s">
        <v>2549</v>
      </c>
      <c r="C1318" s="11" t="s">
        <v>2550</v>
      </c>
    </row>
    <row r="1319" spans="1:3">
      <c r="A1319" s="10" t="s">
        <v>85</v>
      </c>
      <c r="B1319" s="2" t="s">
        <v>2551</v>
      </c>
      <c r="C1319" s="11" t="s">
        <v>2552</v>
      </c>
    </row>
    <row r="1320" spans="1:3">
      <c r="A1320" s="10" t="s">
        <v>85</v>
      </c>
      <c r="B1320" s="2" t="s">
        <v>2553</v>
      </c>
      <c r="C1320" s="11" t="s">
        <v>2554</v>
      </c>
    </row>
    <row r="1321" spans="1:3">
      <c r="A1321" s="10" t="s">
        <v>85</v>
      </c>
      <c r="B1321" s="2" t="s">
        <v>2555</v>
      </c>
      <c r="C1321" s="11" t="s">
        <v>287</v>
      </c>
    </row>
    <row r="1322" spans="1:3">
      <c r="A1322" s="10" t="s">
        <v>85</v>
      </c>
      <c r="B1322" s="2" t="s">
        <v>2556</v>
      </c>
      <c r="C1322" s="11" t="s">
        <v>2557</v>
      </c>
    </row>
    <row r="1323" spans="1:3">
      <c r="A1323" s="10" t="s">
        <v>85</v>
      </c>
      <c r="B1323" s="2" t="s">
        <v>2558</v>
      </c>
      <c r="C1323" s="11" t="s">
        <v>2559</v>
      </c>
    </row>
    <row r="1324" spans="1:3">
      <c r="A1324" s="10" t="s">
        <v>85</v>
      </c>
      <c r="B1324" s="2" t="s">
        <v>2560</v>
      </c>
      <c r="C1324" s="11" t="s">
        <v>2561</v>
      </c>
    </row>
    <row r="1325" spans="1:3">
      <c r="A1325" s="10" t="s">
        <v>85</v>
      </c>
      <c r="B1325" s="2" t="s">
        <v>2562</v>
      </c>
      <c r="C1325" s="11" t="s">
        <v>2563</v>
      </c>
    </row>
    <row r="1326" spans="1:3">
      <c r="A1326" s="10" t="s">
        <v>85</v>
      </c>
      <c r="B1326" s="2" t="s">
        <v>2564</v>
      </c>
      <c r="C1326" s="11" t="s">
        <v>2565</v>
      </c>
    </row>
    <row r="1327" spans="1:3">
      <c r="A1327" s="10" t="s">
        <v>85</v>
      </c>
      <c r="B1327" s="2" t="s">
        <v>2566</v>
      </c>
      <c r="C1327" s="11" t="s">
        <v>2567</v>
      </c>
    </row>
    <row r="1328" spans="1:3">
      <c r="A1328" s="10" t="s">
        <v>85</v>
      </c>
      <c r="B1328" s="2" t="s">
        <v>2568</v>
      </c>
      <c r="C1328" s="11" t="s">
        <v>2569</v>
      </c>
    </row>
    <row r="1329" spans="1:3">
      <c r="A1329" s="10" t="s">
        <v>85</v>
      </c>
      <c r="B1329" s="2" t="s">
        <v>1601</v>
      </c>
      <c r="C1329" s="11" t="s">
        <v>1602</v>
      </c>
    </row>
    <row r="1330" spans="1:3">
      <c r="A1330" s="10" t="s">
        <v>85</v>
      </c>
      <c r="B1330" s="2" t="s">
        <v>2570</v>
      </c>
      <c r="C1330" s="11" t="s">
        <v>2571</v>
      </c>
    </row>
    <row r="1331" spans="1:3">
      <c r="A1331" s="10" t="s">
        <v>85</v>
      </c>
      <c r="B1331" s="2" t="s">
        <v>2572</v>
      </c>
      <c r="C1331" s="11" t="s">
        <v>2573</v>
      </c>
    </row>
    <row r="1332" spans="1:3">
      <c r="A1332" s="10" t="s">
        <v>85</v>
      </c>
      <c r="B1332" s="2" t="s">
        <v>786</v>
      </c>
      <c r="C1332" s="11" t="s">
        <v>287</v>
      </c>
    </row>
    <row r="1333" spans="1:3">
      <c r="A1333" s="10" t="s">
        <v>85</v>
      </c>
      <c r="B1333" s="2" t="s">
        <v>2574</v>
      </c>
      <c r="C1333" s="11" t="s">
        <v>2575</v>
      </c>
    </row>
    <row r="1334" spans="1:3">
      <c r="A1334" s="10" t="s">
        <v>85</v>
      </c>
      <c r="B1334" s="2" t="s">
        <v>2576</v>
      </c>
      <c r="C1334" s="11" t="s">
        <v>2577</v>
      </c>
    </row>
    <row r="1335" spans="1:3">
      <c r="A1335" s="10" t="s">
        <v>85</v>
      </c>
      <c r="B1335" s="2" t="s">
        <v>2578</v>
      </c>
      <c r="C1335" s="11" t="s">
        <v>2579</v>
      </c>
    </row>
    <row r="1336" spans="1:3">
      <c r="A1336" s="10" t="s">
        <v>85</v>
      </c>
      <c r="B1336" s="2" t="s">
        <v>2580</v>
      </c>
      <c r="C1336" s="11" t="s">
        <v>2581</v>
      </c>
    </row>
    <row r="1337" spans="1:3">
      <c r="A1337" s="10" t="s">
        <v>85</v>
      </c>
      <c r="B1337" s="2" t="s">
        <v>2582</v>
      </c>
      <c r="C1337" s="11" t="s">
        <v>2583</v>
      </c>
    </row>
    <row r="1338" spans="1:3">
      <c r="A1338" s="10" t="s">
        <v>85</v>
      </c>
      <c r="B1338" s="2" t="s">
        <v>2584</v>
      </c>
      <c r="C1338" s="11" t="s">
        <v>2585</v>
      </c>
    </row>
    <row r="1339" spans="1:3">
      <c r="A1339" s="10" t="s">
        <v>85</v>
      </c>
      <c r="B1339" s="2" t="s">
        <v>2586</v>
      </c>
      <c r="C1339" s="11" t="s">
        <v>2587</v>
      </c>
    </row>
    <row r="1340" spans="1:3">
      <c r="A1340" s="10" t="s">
        <v>85</v>
      </c>
      <c r="B1340" s="2" t="s">
        <v>2588</v>
      </c>
      <c r="C1340" s="11" t="s">
        <v>2589</v>
      </c>
    </row>
    <row r="1341" spans="1:3">
      <c r="A1341" s="10" t="s">
        <v>85</v>
      </c>
      <c r="B1341" s="2" t="s">
        <v>1617</v>
      </c>
      <c r="C1341" s="11" t="s">
        <v>1618</v>
      </c>
    </row>
    <row r="1342" spans="1:3">
      <c r="A1342" s="10" t="s">
        <v>85</v>
      </c>
      <c r="B1342" s="2" t="s">
        <v>2590</v>
      </c>
      <c r="C1342" s="11" t="s">
        <v>2591</v>
      </c>
    </row>
    <row r="1343" spans="1:3">
      <c r="A1343" s="10" t="s">
        <v>85</v>
      </c>
      <c r="B1343" s="2" t="s">
        <v>2592</v>
      </c>
      <c r="C1343" s="11" t="s">
        <v>2593</v>
      </c>
    </row>
    <row r="1344" spans="1:3">
      <c r="A1344" s="10" t="s">
        <v>85</v>
      </c>
      <c r="B1344" s="2" t="s">
        <v>2594</v>
      </c>
      <c r="C1344" s="11" t="s">
        <v>823</v>
      </c>
    </row>
    <row r="1345" spans="1:3">
      <c r="A1345" s="10" t="s">
        <v>85</v>
      </c>
      <c r="B1345" s="2" t="s">
        <v>2595</v>
      </c>
      <c r="C1345" s="11" t="s">
        <v>2596</v>
      </c>
    </row>
    <row r="1346" spans="1:3">
      <c r="A1346" s="10" t="s">
        <v>85</v>
      </c>
      <c r="B1346" s="2" t="s">
        <v>2597</v>
      </c>
      <c r="C1346" s="11" t="s">
        <v>2598</v>
      </c>
    </row>
    <row r="1347" spans="1:3">
      <c r="A1347" s="10" t="s">
        <v>85</v>
      </c>
      <c r="B1347" s="2" t="s">
        <v>2599</v>
      </c>
      <c r="C1347" s="11" t="s">
        <v>2600</v>
      </c>
    </row>
    <row r="1348" spans="1:3">
      <c r="A1348" s="10" t="s">
        <v>85</v>
      </c>
      <c r="B1348" s="2" t="s">
        <v>2601</v>
      </c>
      <c r="C1348" s="11" t="s">
        <v>2602</v>
      </c>
    </row>
    <row r="1349" spans="1:3">
      <c r="A1349" s="10" t="s">
        <v>85</v>
      </c>
      <c r="B1349" s="2" t="s">
        <v>2603</v>
      </c>
      <c r="C1349" s="11" t="s">
        <v>2604</v>
      </c>
    </row>
    <row r="1350" spans="1:3">
      <c r="A1350" s="10" t="s">
        <v>85</v>
      </c>
      <c r="B1350" s="2" t="s">
        <v>2605</v>
      </c>
      <c r="C1350" s="11" t="s">
        <v>2606</v>
      </c>
    </row>
    <row r="1351" spans="1:3">
      <c r="A1351" s="10" t="s">
        <v>85</v>
      </c>
      <c r="B1351" s="2" t="s">
        <v>2607</v>
      </c>
      <c r="C1351" s="11" t="s">
        <v>1037</v>
      </c>
    </row>
    <row r="1352" spans="1:3">
      <c r="A1352" s="10" t="s">
        <v>85</v>
      </c>
      <c r="B1352" s="2" t="s">
        <v>2608</v>
      </c>
      <c r="C1352" s="11" t="s">
        <v>483</v>
      </c>
    </row>
    <row r="1353" spans="1:3">
      <c r="A1353" s="10" t="s">
        <v>85</v>
      </c>
      <c r="B1353" s="2" t="s">
        <v>2609</v>
      </c>
      <c r="C1353" s="11" t="s">
        <v>2610</v>
      </c>
    </row>
    <row r="1354" spans="1:3">
      <c r="A1354" s="10" t="s">
        <v>85</v>
      </c>
      <c r="B1354" s="2" t="s">
        <v>2611</v>
      </c>
      <c r="C1354" s="11" t="s">
        <v>2612</v>
      </c>
    </row>
    <row r="1355" spans="1:3">
      <c r="A1355" s="10" t="s">
        <v>85</v>
      </c>
      <c r="B1355" s="2" t="s">
        <v>1642</v>
      </c>
      <c r="C1355" s="11" t="s">
        <v>287</v>
      </c>
    </row>
    <row r="1356" spans="1:3">
      <c r="A1356" s="10" t="s">
        <v>85</v>
      </c>
      <c r="B1356" s="2" t="s">
        <v>826</v>
      </c>
      <c r="C1356" s="11" t="s">
        <v>827</v>
      </c>
    </row>
    <row r="1357" spans="1:3">
      <c r="A1357" s="10" t="s">
        <v>85</v>
      </c>
      <c r="B1357" s="2" t="s">
        <v>2613</v>
      </c>
      <c r="C1357" s="11" t="s">
        <v>2614</v>
      </c>
    </row>
    <row r="1358" spans="1:3">
      <c r="A1358" s="10" t="s">
        <v>85</v>
      </c>
      <c r="B1358" s="2" t="s">
        <v>2615</v>
      </c>
      <c r="C1358" s="11" t="s">
        <v>2616</v>
      </c>
    </row>
    <row r="1359" spans="1:3">
      <c r="A1359" s="10" t="s">
        <v>85</v>
      </c>
      <c r="B1359" s="2" t="s">
        <v>2617</v>
      </c>
      <c r="C1359" s="11" t="s">
        <v>2618</v>
      </c>
    </row>
    <row r="1360" spans="1:3">
      <c r="A1360" s="10" t="s">
        <v>85</v>
      </c>
      <c r="B1360" s="2" t="s">
        <v>2619</v>
      </c>
      <c r="C1360" s="11" t="s">
        <v>2620</v>
      </c>
    </row>
    <row r="1361" spans="1:3">
      <c r="A1361" s="10" t="s">
        <v>85</v>
      </c>
      <c r="B1361" s="2" t="s">
        <v>2621</v>
      </c>
      <c r="C1361" s="11" t="s">
        <v>2622</v>
      </c>
    </row>
    <row r="1362" spans="1:3">
      <c r="A1362" s="10" t="s">
        <v>85</v>
      </c>
      <c r="B1362" s="2" t="s">
        <v>2623</v>
      </c>
      <c r="C1362" s="11" t="s">
        <v>2624</v>
      </c>
    </row>
    <row r="1363" spans="1:3">
      <c r="A1363" s="10" t="s">
        <v>85</v>
      </c>
      <c r="B1363" s="2" t="s">
        <v>2625</v>
      </c>
      <c r="C1363" s="11" t="s">
        <v>2626</v>
      </c>
    </row>
    <row r="1364" spans="1:3">
      <c r="A1364" s="10" t="s">
        <v>85</v>
      </c>
      <c r="B1364" s="2" t="s">
        <v>2627</v>
      </c>
      <c r="C1364" s="11" t="s">
        <v>2628</v>
      </c>
    </row>
    <row r="1365" spans="1:3">
      <c r="A1365" s="10" t="s">
        <v>85</v>
      </c>
      <c r="B1365" s="2" t="s">
        <v>2629</v>
      </c>
      <c r="C1365" s="11" t="s">
        <v>2630</v>
      </c>
    </row>
    <row r="1366" spans="1:3">
      <c r="A1366" s="10" t="s">
        <v>85</v>
      </c>
      <c r="B1366" s="2" t="s">
        <v>1646</v>
      </c>
      <c r="C1366" s="11" t="s">
        <v>1647</v>
      </c>
    </row>
    <row r="1367" spans="1:3">
      <c r="A1367" s="10" t="s">
        <v>85</v>
      </c>
      <c r="B1367" s="2" t="s">
        <v>2631</v>
      </c>
      <c r="C1367" s="11" t="s">
        <v>2632</v>
      </c>
    </row>
    <row r="1368" spans="1:3">
      <c r="A1368" s="10" t="s">
        <v>85</v>
      </c>
      <c r="B1368" s="2" t="s">
        <v>2633</v>
      </c>
      <c r="C1368" s="11" t="s">
        <v>2634</v>
      </c>
    </row>
    <row r="1369" spans="1:3">
      <c r="A1369" s="10" t="s">
        <v>85</v>
      </c>
      <c r="B1369" s="2" t="s">
        <v>2635</v>
      </c>
      <c r="C1369" s="11" t="s">
        <v>2636</v>
      </c>
    </row>
    <row r="1370" spans="1:3">
      <c r="A1370" s="10" t="s">
        <v>85</v>
      </c>
      <c r="B1370" s="2" t="s">
        <v>2637</v>
      </c>
      <c r="C1370" s="11" t="s">
        <v>2638</v>
      </c>
    </row>
    <row r="1371" spans="1:3">
      <c r="A1371" s="10" t="s">
        <v>85</v>
      </c>
      <c r="B1371" s="2" t="s">
        <v>2639</v>
      </c>
      <c r="C1371" s="11" t="s">
        <v>2640</v>
      </c>
    </row>
    <row r="1372" spans="1:3">
      <c r="A1372" s="10" t="s">
        <v>85</v>
      </c>
      <c r="B1372" s="2" t="s">
        <v>2641</v>
      </c>
      <c r="C1372" s="11" t="s">
        <v>2642</v>
      </c>
    </row>
    <row r="1373" spans="1:3">
      <c r="A1373" s="10" t="s">
        <v>85</v>
      </c>
      <c r="B1373" s="2" t="s">
        <v>2643</v>
      </c>
      <c r="C1373" s="11" t="s">
        <v>2644</v>
      </c>
    </row>
    <row r="1374" spans="1:3">
      <c r="A1374" s="10" t="s">
        <v>85</v>
      </c>
      <c r="B1374" s="2" t="s">
        <v>2645</v>
      </c>
      <c r="C1374" s="11" t="s">
        <v>2646</v>
      </c>
    </row>
    <row r="1375" spans="1:3">
      <c r="A1375" s="10" t="s">
        <v>85</v>
      </c>
      <c r="B1375" s="2" t="s">
        <v>2647</v>
      </c>
      <c r="C1375" s="11" t="s">
        <v>2648</v>
      </c>
    </row>
    <row r="1376" spans="1:3">
      <c r="A1376" s="10" t="s">
        <v>85</v>
      </c>
      <c r="B1376" s="2" t="s">
        <v>2649</v>
      </c>
      <c r="C1376" s="11" t="s">
        <v>2650</v>
      </c>
    </row>
    <row r="1377" spans="1:3">
      <c r="A1377" s="10" t="s">
        <v>85</v>
      </c>
      <c r="B1377" s="2" t="s">
        <v>2651</v>
      </c>
      <c r="C1377" s="11" t="s">
        <v>2652</v>
      </c>
    </row>
    <row r="1378" spans="1:3">
      <c r="A1378" s="10" t="s">
        <v>85</v>
      </c>
      <c r="B1378" s="2" t="s">
        <v>2653</v>
      </c>
      <c r="C1378" s="11" t="s">
        <v>2654</v>
      </c>
    </row>
    <row r="1379" spans="1:3">
      <c r="A1379" s="10" t="s">
        <v>85</v>
      </c>
      <c r="B1379" s="2" t="s">
        <v>2655</v>
      </c>
      <c r="C1379" s="11" t="s">
        <v>2656</v>
      </c>
    </row>
    <row r="1380" spans="1:3">
      <c r="A1380" s="10" t="s">
        <v>85</v>
      </c>
      <c r="B1380" s="2" t="s">
        <v>2657</v>
      </c>
      <c r="C1380" s="11" t="s">
        <v>2658</v>
      </c>
    </row>
    <row r="1381" spans="1:3">
      <c r="A1381" s="10" t="s">
        <v>85</v>
      </c>
      <c r="B1381" s="2" t="s">
        <v>2659</v>
      </c>
      <c r="C1381" s="11" t="s">
        <v>2660</v>
      </c>
    </row>
    <row r="1382" spans="1:3">
      <c r="A1382" s="10" t="s">
        <v>85</v>
      </c>
      <c r="B1382" s="2" t="s">
        <v>2661</v>
      </c>
      <c r="C1382" s="11" t="s">
        <v>2662</v>
      </c>
    </row>
    <row r="1383" spans="1:3">
      <c r="A1383" s="10" t="s">
        <v>85</v>
      </c>
      <c r="B1383" s="2" t="s">
        <v>2663</v>
      </c>
      <c r="C1383" s="11" t="s">
        <v>2664</v>
      </c>
    </row>
    <row r="1384" spans="1:3">
      <c r="A1384" s="10" t="s">
        <v>85</v>
      </c>
      <c r="B1384" s="2" t="s">
        <v>2665</v>
      </c>
      <c r="C1384" s="11" t="s">
        <v>2666</v>
      </c>
    </row>
    <row r="1385" spans="1:3">
      <c r="A1385" s="10" t="s">
        <v>85</v>
      </c>
      <c r="B1385" s="2" t="s">
        <v>2667</v>
      </c>
      <c r="C1385" s="11" t="s">
        <v>2668</v>
      </c>
    </row>
    <row r="1386" spans="1:3">
      <c r="A1386" s="10" t="s">
        <v>85</v>
      </c>
      <c r="B1386" s="2" t="s">
        <v>2669</v>
      </c>
      <c r="C1386" s="11" t="s">
        <v>2670</v>
      </c>
    </row>
    <row r="1387" spans="1:3">
      <c r="A1387" s="10" t="s">
        <v>85</v>
      </c>
      <c r="B1387" s="2" t="s">
        <v>2671</v>
      </c>
      <c r="C1387" s="11" t="s">
        <v>2672</v>
      </c>
    </row>
    <row r="1388" spans="1:3">
      <c r="A1388" s="10" t="s">
        <v>85</v>
      </c>
      <c r="B1388" s="2" t="s">
        <v>2673</v>
      </c>
      <c r="C1388" s="11" t="s">
        <v>2674</v>
      </c>
    </row>
    <row r="1389" spans="1:3">
      <c r="A1389" s="10" t="s">
        <v>85</v>
      </c>
      <c r="B1389" s="2" t="s">
        <v>2675</v>
      </c>
      <c r="C1389" s="11" t="s">
        <v>2676</v>
      </c>
    </row>
    <row r="1390" spans="1:3">
      <c r="A1390" s="10" t="s">
        <v>85</v>
      </c>
      <c r="B1390" s="2" t="s">
        <v>2677</v>
      </c>
      <c r="C1390" s="11" t="s">
        <v>2678</v>
      </c>
    </row>
    <row r="1391" spans="1:3">
      <c r="A1391" s="10" t="s">
        <v>85</v>
      </c>
      <c r="B1391" s="2" t="s">
        <v>2679</v>
      </c>
      <c r="C1391" s="11" t="s">
        <v>2680</v>
      </c>
    </row>
    <row r="1392" spans="1:3">
      <c r="A1392" s="10" t="s">
        <v>85</v>
      </c>
      <c r="B1392" s="2" t="s">
        <v>2681</v>
      </c>
      <c r="C1392" s="11" t="s">
        <v>2682</v>
      </c>
    </row>
    <row r="1393" spans="1:3">
      <c r="A1393" s="10" t="s">
        <v>85</v>
      </c>
      <c r="B1393" s="2" t="s">
        <v>2683</v>
      </c>
      <c r="C1393" s="11" t="s">
        <v>2684</v>
      </c>
    </row>
    <row r="1394" spans="1:3">
      <c r="A1394" s="10" t="s">
        <v>85</v>
      </c>
      <c r="B1394" s="2" t="s">
        <v>2685</v>
      </c>
      <c r="C1394" s="11" t="s">
        <v>2686</v>
      </c>
    </row>
    <row r="1395" spans="1:3">
      <c r="A1395" s="10" t="s">
        <v>85</v>
      </c>
      <c r="B1395" s="2" t="s">
        <v>2687</v>
      </c>
      <c r="C1395" s="11" t="s">
        <v>2688</v>
      </c>
    </row>
    <row r="1396" spans="1:3">
      <c r="A1396" s="10" t="s">
        <v>85</v>
      </c>
      <c r="B1396" s="2" t="s">
        <v>2689</v>
      </c>
      <c r="C1396" s="11" t="s">
        <v>2690</v>
      </c>
    </row>
    <row r="1397" spans="1:3">
      <c r="A1397" s="10" t="s">
        <v>85</v>
      </c>
      <c r="B1397" s="2" t="s">
        <v>2691</v>
      </c>
      <c r="C1397" s="11" t="s">
        <v>2692</v>
      </c>
    </row>
    <row r="1398" spans="1:3">
      <c r="A1398" s="10" t="s">
        <v>85</v>
      </c>
      <c r="B1398" s="2" t="s">
        <v>2693</v>
      </c>
      <c r="C1398" s="11" t="s">
        <v>2694</v>
      </c>
    </row>
    <row r="1399" spans="1:3">
      <c r="A1399" s="10" t="s">
        <v>85</v>
      </c>
      <c r="B1399" s="2" t="s">
        <v>2695</v>
      </c>
      <c r="C1399" s="11" t="s">
        <v>2696</v>
      </c>
    </row>
    <row r="1400" spans="1:3">
      <c r="A1400" s="10" t="s">
        <v>85</v>
      </c>
      <c r="B1400" s="2" t="s">
        <v>2697</v>
      </c>
      <c r="C1400" s="11" t="s">
        <v>2698</v>
      </c>
    </row>
    <row r="1401" spans="1:3">
      <c r="A1401" s="10" t="s">
        <v>85</v>
      </c>
      <c r="B1401" s="2" t="s">
        <v>2699</v>
      </c>
      <c r="C1401" s="11" t="s">
        <v>2700</v>
      </c>
    </row>
    <row r="1402" spans="1:3">
      <c r="A1402" s="10" t="s">
        <v>85</v>
      </c>
      <c r="B1402" s="2" t="s">
        <v>1694</v>
      </c>
      <c r="C1402" s="11" t="s">
        <v>1695</v>
      </c>
    </row>
    <row r="1403" spans="1:3">
      <c r="A1403" s="10" t="s">
        <v>85</v>
      </c>
      <c r="B1403" s="2" t="s">
        <v>2701</v>
      </c>
      <c r="C1403" s="11" t="s">
        <v>2702</v>
      </c>
    </row>
    <row r="1404" spans="1:3">
      <c r="A1404" s="10" t="s">
        <v>85</v>
      </c>
      <c r="B1404" s="2" t="s">
        <v>2703</v>
      </c>
      <c r="C1404" s="11" t="s">
        <v>483</v>
      </c>
    </row>
    <row r="1405" spans="1:3">
      <c r="A1405" s="10" t="s">
        <v>85</v>
      </c>
      <c r="B1405" s="2" t="s">
        <v>2704</v>
      </c>
      <c r="C1405" s="11" t="s">
        <v>2705</v>
      </c>
    </row>
    <row r="1406" spans="1:3">
      <c r="A1406" s="10" t="s">
        <v>85</v>
      </c>
      <c r="B1406" s="2" t="s">
        <v>2706</v>
      </c>
      <c r="C1406" s="11" t="s">
        <v>2707</v>
      </c>
    </row>
    <row r="1407" spans="1:3">
      <c r="A1407" s="10" t="s">
        <v>85</v>
      </c>
      <c r="B1407" s="2" t="s">
        <v>884</v>
      </c>
      <c r="C1407" s="11" t="s">
        <v>885</v>
      </c>
    </row>
    <row r="1408" spans="1:3">
      <c r="A1408" s="10" t="s">
        <v>85</v>
      </c>
      <c r="B1408" s="2" t="s">
        <v>2708</v>
      </c>
      <c r="C1408" s="11" t="s">
        <v>2709</v>
      </c>
    </row>
    <row r="1409" spans="1:3">
      <c r="A1409" s="10" t="s">
        <v>85</v>
      </c>
      <c r="B1409" s="2" t="s">
        <v>2710</v>
      </c>
      <c r="C1409" s="11" t="s">
        <v>2711</v>
      </c>
    </row>
    <row r="1410" spans="1:3">
      <c r="A1410" s="10" t="s">
        <v>85</v>
      </c>
      <c r="B1410" s="2" t="s">
        <v>2712</v>
      </c>
      <c r="C1410" s="11" t="s">
        <v>2713</v>
      </c>
    </row>
    <row r="1411" spans="1:3">
      <c r="A1411" s="10" t="s">
        <v>85</v>
      </c>
      <c r="B1411" s="2" t="s">
        <v>2714</v>
      </c>
      <c r="C1411" s="11" t="s">
        <v>2715</v>
      </c>
    </row>
    <row r="1412" spans="1:3">
      <c r="A1412" s="10" t="s">
        <v>85</v>
      </c>
      <c r="B1412" s="2" t="s">
        <v>2716</v>
      </c>
      <c r="C1412" s="11" t="s">
        <v>287</v>
      </c>
    </row>
    <row r="1413" spans="1:3">
      <c r="A1413" s="10" t="s">
        <v>85</v>
      </c>
      <c r="B1413" s="2" t="s">
        <v>2717</v>
      </c>
      <c r="C1413" s="11" t="s">
        <v>2718</v>
      </c>
    </row>
    <row r="1414" spans="1:3">
      <c r="A1414" s="10" t="s">
        <v>85</v>
      </c>
      <c r="B1414" s="2" t="s">
        <v>891</v>
      </c>
      <c r="C1414" s="11" t="s">
        <v>892</v>
      </c>
    </row>
    <row r="1415" spans="1:3">
      <c r="A1415" s="10" t="s">
        <v>85</v>
      </c>
      <c r="B1415" s="2" t="s">
        <v>2719</v>
      </c>
      <c r="C1415" s="11" t="s">
        <v>2720</v>
      </c>
    </row>
    <row r="1416" spans="1:3">
      <c r="A1416" s="10" t="s">
        <v>85</v>
      </c>
      <c r="B1416" s="2" t="s">
        <v>2721</v>
      </c>
      <c r="C1416" s="11" t="s">
        <v>2722</v>
      </c>
    </row>
    <row r="1417" spans="1:3">
      <c r="A1417" s="10" t="s">
        <v>85</v>
      </c>
      <c r="B1417" s="2" t="s">
        <v>2723</v>
      </c>
      <c r="C1417" s="11" t="s">
        <v>383</v>
      </c>
    </row>
    <row r="1418" spans="1:3">
      <c r="A1418" s="10" t="s">
        <v>85</v>
      </c>
      <c r="B1418" s="2" t="s">
        <v>2724</v>
      </c>
      <c r="C1418" s="11" t="s">
        <v>2725</v>
      </c>
    </row>
    <row r="1419" spans="1:3">
      <c r="A1419" s="10" t="s">
        <v>85</v>
      </c>
      <c r="B1419" s="2" t="s">
        <v>2726</v>
      </c>
      <c r="C1419" s="11" t="s">
        <v>2727</v>
      </c>
    </row>
    <row r="1420" spans="1:3">
      <c r="A1420" s="10" t="s">
        <v>85</v>
      </c>
      <c r="B1420" s="2" t="s">
        <v>898</v>
      </c>
      <c r="C1420" s="11" t="s">
        <v>467</v>
      </c>
    </row>
    <row r="1421" spans="1:3">
      <c r="A1421" s="10" t="s">
        <v>85</v>
      </c>
      <c r="B1421" s="2" t="s">
        <v>899</v>
      </c>
      <c r="C1421" s="11" t="s">
        <v>900</v>
      </c>
    </row>
    <row r="1422" spans="1:3">
      <c r="A1422" s="10" t="s">
        <v>85</v>
      </c>
      <c r="B1422" s="2" t="s">
        <v>2728</v>
      </c>
      <c r="C1422" s="11" t="s">
        <v>2729</v>
      </c>
    </row>
    <row r="1423" spans="1:3">
      <c r="A1423" s="10" t="s">
        <v>85</v>
      </c>
      <c r="B1423" s="2" t="s">
        <v>2730</v>
      </c>
      <c r="C1423" s="11" t="s">
        <v>2731</v>
      </c>
    </row>
    <row r="1424" spans="1:3">
      <c r="A1424" s="10" t="s">
        <v>85</v>
      </c>
      <c r="B1424" s="2" t="s">
        <v>2732</v>
      </c>
      <c r="C1424" s="11" t="s">
        <v>2733</v>
      </c>
    </row>
    <row r="1425" spans="1:3">
      <c r="A1425" s="10" t="s">
        <v>85</v>
      </c>
      <c r="B1425" s="2" t="s">
        <v>2734</v>
      </c>
      <c r="C1425" s="11" t="s">
        <v>2735</v>
      </c>
    </row>
    <row r="1426" spans="1:3">
      <c r="A1426" s="10" t="s">
        <v>85</v>
      </c>
      <c r="B1426" s="2" t="s">
        <v>1706</v>
      </c>
      <c r="C1426" s="11" t="s">
        <v>1707</v>
      </c>
    </row>
    <row r="1427" spans="1:3">
      <c r="A1427" s="10" t="s">
        <v>85</v>
      </c>
      <c r="B1427" s="2" t="s">
        <v>2736</v>
      </c>
      <c r="C1427" s="11" t="s">
        <v>1443</v>
      </c>
    </row>
    <row r="1428" spans="1:3">
      <c r="A1428" s="10" t="s">
        <v>85</v>
      </c>
      <c r="B1428" s="2" t="s">
        <v>1710</v>
      </c>
      <c r="C1428" s="11" t="s">
        <v>1711</v>
      </c>
    </row>
    <row r="1429" spans="1:3">
      <c r="A1429" s="10" t="s">
        <v>85</v>
      </c>
      <c r="B1429" s="2" t="s">
        <v>2737</v>
      </c>
      <c r="C1429" s="11" t="s">
        <v>2059</v>
      </c>
    </row>
    <row r="1430" spans="1:3">
      <c r="A1430" s="10" t="s">
        <v>85</v>
      </c>
      <c r="B1430" s="2" t="s">
        <v>2738</v>
      </c>
      <c r="C1430" s="11" t="s">
        <v>2739</v>
      </c>
    </row>
    <row r="1431" spans="1:3">
      <c r="A1431" s="10" t="s">
        <v>85</v>
      </c>
      <c r="B1431" s="2" t="s">
        <v>2740</v>
      </c>
      <c r="C1431" s="11" t="s">
        <v>483</v>
      </c>
    </row>
    <row r="1432" spans="1:3">
      <c r="A1432" s="10" t="s">
        <v>85</v>
      </c>
      <c r="B1432" s="2" t="s">
        <v>2741</v>
      </c>
      <c r="C1432" s="11" t="s">
        <v>2742</v>
      </c>
    </row>
    <row r="1433" spans="1:3">
      <c r="A1433" s="10" t="s">
        <v>85</v>
      </c>
      <c r="B1433" s="2" t="s">
        <v>2743</v>
      </c>
      <c r="C1433" s="11" t="s">
        <v>2744</v>
      </c>
    </row>
    <row r="1434" spans="1:3">
      <c r="A1434" s="10" t="s">
        <v>85</v>
      </c>
      <c r="B1434" s="2" t="s">
        <v>2745</v>
      </c>
      <c r="C1434" s="11" t="s">
        <v>2746</v>
      </c>
    </row>
    <row r="1435" spans="1:3">
      <c r="A1435" s="10" t="s">
        <v>85</v>
      </c>
      <c r="B1435" s="2" t="s">
        <v>2747</v>
      </c>
      <c r="C1435" s="11" t="s">
        <v>2748</v>
      </c>
    </row>
    <row r="1436" spans="1:3">
      <c r="A1436" s="10" t="s">
        <v>85</v>
      </c>
      <c r="B1436" s="2" t="s">
        <v>1728</v>
      </c>
      <c r="C1436" s="11" t="s">
        <v>1729</v>
      </c>
    </row>
    <row r="1437" spans="1:3">
      <c r="A1437" s="10" t="s">
        <v>85</v>
      </c>
      <c r="B1437" s="2" t="s">
        <v>932</v>
      </c>
      <c r="C1437" s="11" t="s">
        <v>483</v>
      </c>
    </row>
    <row r="1438" spans="1:3">
      <c r="A1438" s="10" t="s">
        <v>85</v>
      </c>
      <c r="B1438" s="2" t="s">
        <v>2749</v>
      </c>
      <c r="C1438" s="11" t="s">
        <v>2750</v>
      </c>
    </row>
    <row r="1439" spans="1:3">
      <c r="A1439" s="10" t="s">
        <v>85</v>
      </c>
      <c r="B1439" s="2" t="s">
        <v>2751</v>
      </c>
      <c r="C1439" s="11" t="s">
        <v>2752</v>
      </c>
    </row>
    <row r="1440" spans="1:3">
      <c r="A1440" s="10" t="s">
        <v>85</v>
      </c>
      <c r="B1440" s="2" t="s">
        <v>2753</v>
      </c>
      <c r="C1440" s="11" t="s">
        <v>2754</v>
      </c>
    </row>
    <row r="1441" spans="1:3">
      <c r="A1441" s="10" t="s">
        <v>85</v>
      </c>
      <c r="B1441" s="2" t="s">
        <v>2755</v>
      </c>
      <c r="C1441" s="11" t="s">
        <v>2756</v>
      </c>
    </row>
    <row r="1442" spans="1:3">
      <c r="A1442" s="10" t="s">
        <v>85</v>
      </c>
      <c r="B1442" s="2" t="s">
        <v>2757</v>
      </c>
      <c r="C1442" s="11" t="s">
        <v>2589</v>
      </c>
    </row>
    <row r="1443" spans="1:3">
      <c r="A1443" s="10" t="s">
        <v>85</v>
      </c>
      <c r="B1443" s="2" t="s">
        <v>2758</v>
      </c>
      <c r="C1443" s="11" t="s">
        <v>2759</v>
      </c>
    </row>
    <row r="1444" spans="1:3">
      <c r="A1444" s="10" t="s">
        <v>85</v>
      </c>
      <c r="B1444" s="2" t="s">
        <v>2760</v>
      </c>
      <c r="C1444" s="11" t="s">
        <v>2761</v>
      </c>
    </row>
    <row r="1445" spans="1:3">
      <c r="A1445" s="10" t="s">
        <v>85</v>
      </c>
      <c r="B1445" s="2" t="s">
        <v>2762</v>
      </c>
      <c r="C1445" s="11" t="s">
        <v>2763</v>
      </c>
    </row>
    <row r="1446" spans="1:3">
      <c r="A1446" s="10" t="s">
        <v>85</v>
      </c>
      <c r="B1446" s="2" t="s">
        <v>2764</v>
      </c>
      <c r="C1446" s="11" t="s">
        <v>2765</v>
      </c>
    </row>
    <row r="1447" spans="1:3">
      <c r="A1447" s="10" t="s">
        <v>85</v>
      </c>
      <c r="B1447" s="2" t="s">
        <v>2766</v>
      </c>
      <c r="C1447" s="11" t="s">
        <v>2767</v>
      </c>
    </row>
    <row r="1448" spans="1:3">
      <c r="A1448" s="10" t="s">
        <v>85</v>
      </c>
      <c r="B1448" s="2" t="s">
        <v>2768</v>
      </c>
      <c r="C1448" s="11" t="s">
        <v>483</v>
      </c>
    </row>
    <row r="1449" spans="1:3">
      <c r="A1449" s="10" t="s">
        <v>85</v>
      </c>
      <c r="B1449" s="2" t="s">
        <v>1747</v>
      </c>
      <c r="C1449" s="11" t="s">
        <v>1748</v>
      </c>
    </row>
    <row r="1450" spans="1:3">
      <c r="A1450" s="10" t="s">
        <v>85</v>
      </c>
      <c r="B1450" s="2" t="s">
        <v>2769</v>
      </c>
      <c r="C1450" s="11" t="s">
        <v>2770</v>
      </c>
    </row>
    <row r="1451" spans="1:3">
      <c r="A1451" s="10" t="s">
        <v>85</v>
      </c>
      <c r="B1451" s="2" t="s">
        <v>2771</v>
      </c>
      <c r="C1451" s="11" t="s">
        <v>2772</v>
      </c>
    </row>
    <row r="1452" spans="1:3">
      <c r="A1452" s="10" t="s">
        <v>85</v>
      </c>
      <c r="B1452" s="2" t="s">
        <v>2773</v>
      </c>
      <c r="C1452" s="11" t="s">
        <v>2774</v>
      </c>
    </row>
    <row r="1453" spans="1:3">
      <c r="A1453" s="10" t="s">
        <v>85</v>
      </c>
      <c r="B1453" s="2" t="s">
        <v>2775</v>
      </c>
      <c r="C1453" s="11" t="s">
        <v>2776</v>
      </c>
    </row>
    <row r="1454" spans="1:3">
      <c r="A1454" s="10" t="s">
        <v>85</v>
      </c>
      <c r="B1454" s="2" t="s">
        <v>2777</v>
      </c>
      <c r="C1454" s="11" t="s">
        <v>2778</v>
      </c>
    </row>
    <row r="1455" spans="1:3">
      <c r="A1455" s="10" t="s">
        <v>85</v>
      </c>
      <c r="B1455" s="2" t="s">
        <v>2779</v>
      </c>
      <c r="C1455" s="11" t="s">
        <v>2780</v>
      </c>
    </row>
    <row r="1456" spans="1:3">
      <c r="A1456" s="10" t="s">
        <v>85</v>
      </c>
      <c r="B1456" s="2" t="s">
        <v>2781</v>
      </c>
      <c r="C1456" s="11" t="s">
        <v>2782</v>
      </c>
    </row>
    <row r="1457" spans="1:3">
      <c r="A1457" s="10" t="s">
        <v>85</v>
      </c>
      <c r="B1457" s="2" t="s">
        <v>941</v>
      </c>
      <c r="C1457" s="11" t="s">
        <v>942</v>
      </c>
    </row>
    <row r="1458" spans="1:3">
      <c r="A1458" s="10" t="s">
        <v>85</v>
      </c>
      <c r="B1458" s="2" t="s">
        <v>1763</v>
      </c>
      <c r="C1458" s="11" t="s">
        <v>1764</v>
      </c>
    </row>
    <row r="1459" spans="1:3">
      <c r="A1459" s="10" t="s">
        <v>85</v>
      </c>
      <c r="B1459" s="2" t="s">
        <v>2783</v>
      </c>
      <c r="C1459" s="11" t="s">
        <v>2784</v>
      </c>
    </row>
    <row r="1460" spans="1:3">
      <c r="A1460" s="10" t="s">
        <v>85</v>
      </c>
      <c r="B1460" s="2" t="s">
        <v>945</v>
      </c>
      <c r="C1460" s="11" t="s">
        <v>946</v>
      </c>
    </row>
    <row r="1461" spans="1:3">
      <c r="A1461" s="10" t="s">
        <v>85</v>
      </c>
      <c r="B1461" s="2" t="s">
        <v>2785</v>
      </c>
      <c r="C1461" s="11" t="s">
        <v>2786</v>
      </c>
    </row>
    <row r="1462" spans="1:3">
      <c r="A1462" s="10" t="s">
        <v>85</v>
      </c>
      <c r="B1462" s="2" t="s">
        <v>2787</v>
      </c>
      <c r="C1462" s="11" t="s">
        <v>2788</v>
      </c>
    </row>
    <row r="1463" spans="1:3">
      <c r="A1463" s="10" t="s">
        <v>85</v>
      </c>
      <c r="B1463" s="2" t="s">
        <v>2789</v>
      </c>
      <c r="C1463" s="11" t="s">
        <v>2790</v>
      </c>
    </row>
    <row r="1464" spans="1:3">
      <c r="A1464" s="10" t="s">
        <v>85</v>
      </c>
      <c r="B1464" s="2" t="s">
        <v>2791</v>
      </c>
      <c r="C1464" s="11" t="s">
        <v>2792</v>
      </c>
    </row>
    <row r="1465" spans="1:3">
      <c r="A1465" s="10" t="s">
        <v>85</v>
      </c>
      <c r="B1465" s="2" t="s">
        <v>2793</v>
      </c>
      <c r="C1465" s="11" t="s">
        <v>2794</v>
      </c>
    </row>
    <row r="1466" spans="1:3">
      <c r="A1466" s="10" t="s">
        <v>85</v>
      </c>
      <c r="B1466" s="2" t="s">
        <v>2795</v>
      </c>
      <c r="C1466" s="11" t="s">
        <v>2796</v>
      </c>
    </row>
    <row r="1467" spans="1:3">
      <c r="A1467" s="10" t="s">
        <v>85</v>
      </c>
      <c r="B1467" s="2" t="s">
        <v>2797</v>
      </c>
      <c r="C1467" s="11" t="s">
        <v>2798</v>
      </c>
    </row>
    <row r="1468" spans="1:3">
      <c r="A1468" s="10" t="s">
        <v>85</v>
      </c>
      <c r="B1468" s="2" t="s">
        <v>2799</v>
      </c>
      <c r="C1468" s="11" t="s">
        <v>287</v>
      </c>
    </row>
    <row r="1469" spans="1:3">
      <c r="A1469" s="10" t="s">
        <v>85</v>
      </c>
      <c r="B1469" s="2" t="s">
        <v>1777</v>
      </c>
      <c r="C1469" s="11" t="s">
        <v>1778</v>
      </c>
    </row>
    <row r="1470" spans="1:3">
      <c r="A1470" s="10" t="s">
        <v>85</v>
      </c>
      <c r="B1470" s="2" t="s">
        <v>1779</v>
      </c>
      <c r="C1470" s="11" t="s">
        <v>1780</v>
      </c>
    </row>
    <row r="1471" spans="1:3">
      <c r="A1471" s="10" t="s">
        <v>85</v>
      </c>
      <c r="B1471" s="2" t="s">
        <v>2800</v>
      </c>
      <c r="C1471" s="11" t="s">
        <v>2801</v>
      </c>
    </row>
    <row r="1472" spans="1:3">
      <c r="A1472" s="10" t="s">
        <v>85</v>
      </c>
      <c r="B1472" s="2" t="s">
        <v>1789</v>
      </c>
      <c r="C1472" s="11" t="s">
        <v>1790</v>
      </c>
    </row>
    <row r="1473" spans="1:3">
      <c r="A1473" s="10" t="s">
        <v>85</v>
      </c>
      <c r="B1473" s="2" t="s">
        <v>2802</v>
      </c>
      <c r="C1473" s="11" t="s">
        <v>2803</v>
      </c>
    </row>
    <row r="1474" spans="1:3">
      <c r="A1474" s="10" t="s">
        <v>85</v>
      </c>
      <c r="B1474" s="2" t="s">
        <v>2804</v>
      </c>
      <c r="C1474" s="11" t="s">
        <v>2805</v>
      </c>
    </row>
    <row r="1475" spans="1:3">
      <c r="A1475" s="10" t="s">
        <v>85</v>
      </c>
      <c r="B1475" s="2" t="s">
        <v>2806</v>
      </c>
      <c r="C1475" s="11" t="s">
        <v>2807</v>
      </c>
    </row>
    <row r="1476" spans="1:3">
      <c r="A1476" s="10" t="s">
        <v>85</v>
      </c>
      <c r="B1476" s="2" t="s">
        <v>2808</v>
      </c>
      <c r="C1476" s="11" t="s">
        <v>2809</v>
      </c>
    </row>
    <row r="1477" spans="1:3">
      <c r="A1477" s="10" t="s">
        <v>85</v>
      </c>
      <c r="B1477" s="2" t="s">
        <v>2810</v>
      </c>
      <c r="C1477" s="11" t="s">
        <v>2811</v>
      </c>
    </row>
    <row r="1478" spans="1:3">
      <c r="A1478" s="10" t="s">
        <v>85</v>
      </c>
      <c r="B1478" s="2" t="s">
        <v>2812</v>
      </c>
      <c r="C1478" s="11" t="s">
        <v>2813</v>
      </c>
    </row>
    <row r="1479" spans="1:3">
      <c r="A1479" s="10" t="s">
        <v>85</v>
      </c>
      <c r="B1479" s="2" t="s">
        <v>2814</v>
      </c>
      <c r="C1479" s="11" t="s">
        <v>467</v>
      </c>
    </row>
    <row r="1480" spans="1:3">
      <c r="A1480" s="10" t="s">
        <v>85</v>
      </c>
      <c r="B1480" s="2" t="s">
        <v>2815</v>
      </c>
      <c r="C1480" s="11" t="s">
        <v>2816</v>
      </c>
    </row>
    <row r="1481" spans="1:3">
      <c r="A1481" s="10" t="s">
        <v>85</v>
      </c>
      <c r="B1481" s="2" t="s">
        <v>2817</v>
      </c>
      <c r="C1481" s="11" t="s">
        <v>2818</v>
      </c>
    </row>
    <row r="1482" spans="1:3">
      <c r="A1482" s="10" t="s">
        <v>85</v>
      </c>
      <c r="B1482" s="2" t="s">
        <v>2819</v>
      </c>
      <c r="C1482" s="11" t="s">
        <v>2820</v>
      </c>
    </row>
    <row r="1483" spans="1:3">
      <c r="A1483" s="10" t="s">
        <v>85</v>
      </c>
      <c r="B1483" s="2" t="s">
        <v>986</v>
      </c>
      <c r="C1483" s="11" t="s">
        <v>987</v>
      </c>
    </row>
    <row r="1484" spans="1:3">
      <c r="A1484" s="10" t="s">
        <v>85</v>
      </c>
      <c r="B1484" s="2" t="s">
        <v>2821</v>
      </c>
      <c r="C1484" s="11" t="s">
        <v>2822</v>
      </c>
    </row>
    <row r="1485" spans="1:3">
      <c r="A1485" s="10" t="s">
        <v>85</v>
      </c>
      <c r="B1485" s="2" t="s">
        <v>990</v>
      </c>
      <c r="C1485" s="11" t="s">
        <v>991</v>
      </c>
    </row>
    <row r="1486" spans="1:3">
      <c r="A1486" s="10" t="s">
        <v>85</v>
      </c>
      <c r="B1486" s="2" t="s">
        <v>2823</v>
      </c>
      <c r="C1486" s="11" t="s">
        <v>2824</v>
      </c>
    </row>
    <row r="1487" spans="1:3">
      <c r="A1487" s="10" t="s">
        <v>85</v>
      </c>
      <c r="B1487" s="2" t="s">
        <v>1811</v>
      </c>
      <c r="C1487" s="11" t="s">
        <v>287</v>
      </c>
    </row>
    <row r="1488" spans="1:3">
      <c r="A1488" s="10" t="s">
        <v>85</v>
      </c>
      <c r="B1488" s="2" t="s">
        <v>2825</v>
      </c>
      <c r="C1488" s="11" t="s">
        <v>2826</v>
      </c>
    </row>
    <row r="1489" spans="1:3">
      <c r="A1489" s="10" t="s">
        <v>85</v>
      </c>
      <c r="B1489" s="2" t="s">
        <v>992</v>
      </c>
      <c r="C1489" s="11" t="s">
        <v>993</v>
      </c>
    </row>
    <row r="1490" spans="1:3">
      <c r="A1490" s="10" t="s">
        <v>85</v>
      </c>
      <c r="B1490" s="2" t="s">
        <v>2827</v>
      </c>
      <c r="C1490" s="11" t="s">
        <v>2828</v>
      </c>
    </row>
    <row r="1491" spans="1:3">
      <c r="A1491" s="10" t="s">
        <v>85</v>
      </c>
      <c r="B1491" s="2" t="s">
        <v>2829</v>
      </c>
      <c r="C1491" s="11" t="s">
        <v>2830</v>
      </c>
    </row>
    <row r="1492" spans="1:3">
      <c r="A1492" s="10" t="s">
        <v>85</v>
      </c>
      <c r="B1492" s="2" t="s">
        <v>2831</v>
      </c>
      <c r="C1492" s="11" t="s">
        <v>2832</v>
      </c>
    </row>
    <row r="1493" spans="1:3">
      <c r="A1493" s="10" t="s">
        <v>85</v>
      </c>
      <c r="B1493" s="2" t="s">
        <v>2833</v>
      </c>
      <c r="C1493" s="11" t="s">
        <v>2834</v>
      </c>
    </row>
    <row r="1494" spans="1:3">
      <c r="A1494" s="10" t="s">
        <v>85</v>
      </c>
      <c r="B1494" s="2" t="s">
        <v>2835</v>
      </c>
      <c r="C1494" s="11" t="s">
        <v>287</v>
      </c>
    </row>
    <row r="1495" spans="1:3">
      <c r="A1495" s="10" t="s">
        <v>85</v>
      </c>
      <c r="B1495" s="2" t="s">
        <v>2836</v>
      </c>
      <c r="C1495" s="11" t="s">
        <v>2837</v>
      </c>
    </row>
    <row r="1496" spans="1:3">
      <c r="A1496" s="10" t="s">
        <v>85</v>
      </c>
      <c r="B1496" s="2" t="s">
        <v>1008</v>
      </c>
      <c r="C1496" s="11" t="s">
        <v>1009</v>
      </c>
    </row>
    <row r="1497" spans="1:3">
      <c r="A1497" s="10" t="s">
        <v>85</v>
      </c>
      <c r="B1497" s="2" t="s">
        <v>1820</v>
      </c>
      <c r="C1497" s="11" t="s">
        <v>1819</v>
      </c>
    </row>
    <row r="1498" spans="1:3">
      <c r="A1498" s="10" t="s">
        <v>85</v>
      </c>
      <c r="B1498" s="2" t="s">
        <v>2838</v>
      </c>
      <c r="C1498" s="11" t="s">
        <v>383</v>
      </c>
    </row>
    <row r="1499" spans="1:3">
      <c r="A1499" s="10" t="s">
        <v>85</v>
      </c>
      <c r="B1499" s="2" t="s">
        <v>1823</v>
      </c>
      <c r="C1499" s="11" t="s">
        <v>1824</v>
      </c>
    </row>
    <row r="1500" spans="1:3">
      <c r="A1500" s="10" t="s">
        <v>85</v>
      </c>
      <c r="B1500" s="2" t="s">
        <v>2839</v>
      </c>
      <c r="C1500" s="11" t="s">
        <v>467</v>
      </c>
    </row>
    <row r="1501" spans="1:3">
      <c r="A1501" s="10" t="s">
        <v>85</v>
      </c>
      <c r="B1501" s="2" t="s">
        <v>2840</v>
      </c>
      <c r="C1501" s="11" t="s">
        <v>2841</v>
      </c>
    </row>
    <row r="1502" spans="1:3">
      <c r="A1502" s="10" t="s">
        <v>85</v>
      </c>
      <c r="B1502" s="2" t="s">
        <v>2842</v>
      </c>
      <c r="C1502" s="11" t="s">
        <v>2843</v>
      </c>
    </row>
    <row r="1503" spans="1:3">
      <c r="A1503" s="10" t="s">
        <v>85</v>
      </c>
      <c r="B1503" s="2" t="s">
        <v>2844</v>
      </c>
      <c r="C1503" s="11" t="s">
        <v>2845</v>
      </c>
    </row>
    <row r="1504" spans="1:3">
      <c r="A1504" s="10" t="s">
        <v>85</v>
      </c>
      <c r="B1504" s="2" t="s">
        <v>2846</v>
      </c>
      <c r="C1504" s="11" t="s">
        <v>2847</v>
      </c>
    </row>
    <row r="1505" spans="1:3">
      <c r="A1505" s="10" t="s">
        <v>85</v>
      </c>
      <c r="B1505" s="2" t="s">
        <v>2848</v>
      </c>
      <c r="C1505" s="11" t="s">
        <v>2849</v>
      </c>
    </row>
    <row r="1506" spans="1:3">
      <c r="A1506" s="10" t="s">
        <v>85</v>
      </c>
      <c r="B1506" s="2" t="s">
        <v>2850</v>
      </c>
      <c r="C1506" s="11" t="s">
        <v>2851</v>
      </c>
    </row>
    <row r="1507" spans="1:3">
      <c r="A1507" s="10" t="s">
        <v>85</v>
      </c>
      <c r="B1507" s="2" t="s">
        <v>1022</v>
      </c>
      <c r="C1507" s="11" t="s">
        <v>1023</v>
      </c>
    </row>
    <row r="1508" spans="1:3">
      <c r="A1508" s="10" t="s">
        <v>85</v>
      </c>
      <c r="B1508" s="2" t="s">
        <v>2852</v>
      </c>
      <c r="C1508" s="11" t="s">
        <v>2853</v>
      </c>
    </row>
    <row r="1509" spans="1:3">
      <c r="A1509" s="10" t="s">
        <v>85</v>
      </c>
      <c r="B1509" s="2" t="s">
        <v>2854</v>
      </c>
      <c r="C1509" s="11" t="s">
        <v>2855</v>
      </c>
    </row>
    <row r="1510" spans="1:3">
      <c r="A1510" s="10" t="s">
        <v>85</v>
      </c>
      <c r="B1510" s="2" t="s">
        <v>1028</v>
      </c>
      <c r="C1510" s="11" t="s">
        <v>1029</v>
      </c>
    </row>
    <row r="1511" spans="1:3">
      <c r="A1511" s="10" t="s">
        <v>85</v>
      </c>
      <c r="B1511" s="2" t="s">
        <v>1835</v>
      </c>
      <c r="C1511" s="11" t="s">
        <v>1836</v>
      </c>
    </row>
    <row r="1512" spans="1:3">
      <c r="A1512" s="10" t="s">
        <v>85</v>
      </c>
      <c r="B1512" s="2" t="s">
        <v>2856</v>
      </c>
      <c r="C1512" s="11" t="s">
        <v>2857</v>
      </c>
    </row>
    <row r="1513" spans="1:3">
      <c r="A1513" s="10" t="s">
        <v>85</v>
      </c>
      <c r="B1513" s="2" t="s">
        <v>2858</v>
      </c>
      <c r="C1513" s="11" t="s">
        <v>2859</v>
      </c>
    </row>
    <row r="1514" spans="1:3">
      <c r="A1514" s="10" t="s">
        <v>85</v>
      </c>
      <c r="B1514" s="2" t="s">
        <v>2860</v>
      </c>
      <c r="C1514" s="11" t="s">
        <v>2861</v>
      </c>
    </row>
    <row r="1515" spans="1:3">
      <c r="A1515" s="10" t="s">
        <v>85</v>
      </c>
      <c r="B1515" s="2" t="s">
        <v>1840</v>
      </c>
      <c r="C1515" s="11" t="s">
        <v>1841</v>
      </c>
    </row>
    <row r="1516" spans="1:3">
      <c r="A1516" s="10" t="s">
        <v>85</v>
      </c>
      <c r="B1516" s="2" t="s">
        <v>2862</v>
      </c>
      <c r="C1516" s="11" t="s">
        <v>2863</v>
      </c>
    </row>
    <row r="1517" spans="1:3">
      <c r="A1517" s="10" t="s">
        <v>85</v>
      </c>
      <c r="B1517" s="2" t="s">
        <v>2864</v>
      </c>
      <c r="C1517" s="11" t="s">
        <v>2865</v>
      </c>
    </row>
    <row r="1518" spans="1:3">
      <c r="A1518" s="10" t="s">
        <v>85</v>
      </c>
      <c r="B1518" s="2" t="s">
        <v>2866</v>
      </c>
      <c r="C1518" s="11" t="s">
        <v>2867</v>
      </c>
    </row>
    <row r="1519" spans="1:3">
      <c r="A1519" s="10" t="s">
        <v>85</v>
      </c>
      <c r="B1519" s="2" t="s">
        <v>1034</v>
      </c>
      <c r="C1519" s="11" t="s">
        <v>1035</v>
      </c>
    </row>
    <row r="1520" spans="1:3">
      <c r="A1520" s="10" t="s">
        <v>85</v>
      </c>
      <c r="B1520" s="2" t="s">
        <v>2868</v>
      </c>
      <c r="C1520" s="11" t="s">
        <v>2869</v>
      </c>
    </row>
    <row r="1521" spans="1:3">
      <c r="A1521" s="10" t="s">
        <v>85</v>
      </c>
      <c r="B1521" s="2" t="s">
        <v>2870</v>
      </c>
      <c r="C1521" s="11" t="s">
        <v>2871</v>
      </c>
    </row>
    <row r="1522" spans="1:3">
      <c r="A1522" s="10" t="s">
        <v>85</v>
      </c>
      <c r="B1522" s="2" t="s">
        <v>2872</v>
      </c>
      <c r="C1522" s="11" t="s">
        <v>2873</v>
      </c>
    </row>
    <row r="1523" spans="1:3">
      <c r="A1523" s="10" t="s">
        <v>85</v>
      </c>
      <c r="B1523" s="2" t="s">
        <v>1042</v>
      </c>
      <c r="C1523" s="11" t="s">
        <v>1043</v>
      </c>
    </row>
    <row r="1524" spans="1:3">
      <c r="A1524" s="10" t="s">
        <v>85</v>
      </c>
      <c r="B1524" s="2" t="s">
        <v>2874</v>
      </c>
      <c r="C1524" s="11" t="s">
        <v>287</v>
      </c>
    </row>
    <row r="1525" spans="1:3">
      <c r="A1525" s="10" t="s">
        <v>85</v>
      </c>
      <c r="B1525" s="2" t="s">
        <v>2875</v>
      </c>
      <c r="C1525" s="11" t="s">
        <v>2876</v>
      </c>
    </row>
    <row r="1526" spans="1:3">
      <c r="A1526" s="10" t="s">
        <v>85</v>
      </c>
      <c r="B1526" s="2" t="s">
        <v>1049</v>
      </c>
      <c r="C1526" s="11" t="s">
        <v>1050</v>
      </c>
    </row>
    <row r="1527" spans="1:3">
      <c r="A1527" s="10" t="s">
        <v>85</v>
      </c>
      <c r="B1527" s="2" t="s">
        <v>2877</v>
      </c>
      <c r="C1527" s="11" t="s">
        <v>2878</v>
      </c>
    </row>
    <row r="1528" spans="1:3">
      <c r="A1528" s="10" t="s">
        <v>85</v>
      </c>
      <c r="B1528" s="2" t="s">
        <v>2879</v>
      </c>
      <c r="C1528" s="11" t="s">
        <v>2880</v>
      </c>
    </row>
    <row r="1529" spans="1:3">
      <c r="A1529" s="10" t="s">
        <v>85</v>
      </c>
      <c r="B1529" s="2" t="s">
        <v>1856</v>
      </c>
      <c r="C1529" s="11" t="s">
        <v>1857</v>
      </c>
    </row>
    <row r="1530" spans="1:3">
      <c r="A1530" s="10" t="s">
        <v>85</v>
      </c>
      <c r="B1530" s="2" t="s">
        <v>1055</v>
      </c>
      <c r="C1530" s="11" t="s">
        <v>1056</v>
      </c>
    </row>
    <row r="1531" spans="1:3">
      <c r="A1531" s="10" t="s">
        <v>85</v>
      </c>
      <c r="B1531" s="2" t="s">
        <v>1057</v>
      </c>
      <c r="C1531" s="11" t="s">
        <v>1058</v>
      </c>
    </row>
    <row r="1532" spans="1:3">
      <c r="A1532" s="10" t="s">
        <v>85</v>
      </c>
      <c r="B1532" s="2" t="s">
        <v>2881</v>
      </c>
      <c r="C1532" s="11" t="s">
        <v>2882</v>
      </c>
    </row>
    <row r="1533" spans="1:3">
      <c r="A1533" s="10" t="s">
        <v>85</v>
      </c>
      <c r="B1533" s="2" t="s">
        <v>2883</v>
      </c>
      <c r="C1533" s="11" t="s">
        <v>2884</v>
      </c>
    </row>
    <row r="1534" spans="1:3">
      <c r="A1534" s="10" t="s">
        <v>85</v>
      </c>
      <c r="B1534" s="2" t="s">
        <v>1059</v>
      </c>
      <c r="C1534" s="11" t="s">
        <v>1060</v>
      </c>
    </row>
    <row r="1535" spans="1:3">
      <c r="A1535" s="10" t="s">
        <v>85</v>
      </c>
      <c r="B1535" s="2" t="s">
        <v>2885</v>
      </c>
      <c r="C1535" s="11" t="s">
        <v>2886</v>
      </c>
    </row>
    <row r="1536" spans="1:3">
      <c r="A1536" s="10" t="s">
        <v>85</v>
      </c>
      <c r="B1536" s="2" t="s">
        <v>1063</v>
      </c>
      <c r="C1536" s="11" t="s">
        <v>1064</v>
      </c>
    </row>
    <row r="1537" spans="1:3">
      <c r="A1537" s="10" t="s">
        <v>85</v>
      </c>
      <c r="B1537" s="2" t="s">
        <v>1067</v>
      </c>
      <c r="C1537" s="11" t="s">
        <v>1068</v>
      </c>
    </row>
    <row r="1538" spans="1:3">
      <c r="A1538" s="10" t="s">
        <v>85</v>
      </c>
      <c r="B1538" s="2" t="s">
        <v>2887</v>
      </c>
      <c r="C1538" s="11" t="s">
        <v>2888</v>
      </c>
    </row>
    <row r="1539" spans="1:3">
      <c r="A1539" s="10" t="s">
        <v>85</v>
      </c>
      <c r="B1539" s="2" t="s">
        <v>2889</v>
      </c>
      <c r="C1539" s="11" t="s">
        <v>2890</v>
      </c>
    </row>
    <row r="1540" spans="1:3">
      <c r="A1540" s="10" t="s">
        <v>85</v>
      </c>
      <c r="B1540" s="2" t="s">
        <v>2891</v>
      </c>
      <c r="C1540" s="11" t="s">
        <v>2892</v>
      </c>
    </row>
    <row r="1541" spans="1:3">
      <c r="A1541" s="10" t="s">
        <v>85</v>
      </c>
      <c r="B1541" s="2" t="s">
        <v>2893</v>
      </c>
      <c r="C1541" s="11" t="s">
        <v>483</v>
      </c>
    </row>
    <row r="1542" spans="1:3">
      <c r="A1542" s="10" t="s">
        <v>85</v>
      </c>
      <c r="B1542" s="2" t="s">
        <v>1075</v>
      </c>
      <c r="C1542" s="11" t="s">
        <v>1076</v>
      </c>
    </row>
    <row r="1543" spans="1:3">
      <c r="A1543" s="10" t="s">
        <v>85</v>
      </c>
      <c r="B1543" s="2" t="s">
        <v>1876</v>
      </c>
      <c r="C1543" s="11" t="s">
        <v>1877</v>
      </c>
    </row>
    <row r="1544" spans="1:3">
      <c r="A1544" s="10" t="s">
        <v>85</v>
      </c>
      <c r="B1544" s="2" t="s">
        <v>2894</v>
      </c>
      <c r="C1544" s="11" t="s">
        <v>2895</v>
      </c>
    </row>
    <row r="1545" spans="1:3">
      <c r="A1545" s="10" t="s">
        <v>85</v>
      </c>
      <c r="B1545" s="2" t="s">
        <v>2896</v>
      </c>
      <c r="C1545" s="11" t="s">
        <v>2897</v>
      </c>
    </row>
    <row r="1546" spans="1:3">
      <c r="A1546" s="10" t="s">
        <v>85</v>
      </c>
      <c r="B1546" s="2" t="s">
        <v>2898</v>
      </c>
      <c r="C1546" s="11" t="s">
        <v>2899</v>
      </c>
    </row>
    <row r="1547" spans="1:3">
      <c r="A1547" s="10" t="s">
        <v>85</v>
      </c>
      <c r="B1547" s="2" t="s">
        <v>2900</v>
      </c>
      <c r="C1547" s="11" t="s">
        <v>2901</v>
      </c>
    </row>
    <row r="1548" spans="1:3">
      <c r="A1548" s="10" t="s">
        <v>85</v>
      </c>
      <c r="B1548" s="2" t="s">
        <v>2902</v>
      </c>
      <c r="C1548" s="11" t="s">
        <v>2903</v>
      </c>
    </row>
    <row r="1549" spans="1:3">
      <c r="A1549" s="10" t="s">
        <v>85</v>
      </c>
      <c r="B1549" s="2" t="s">
        <v>1083</v>
      </c>
      <c r="C1549" s="11" t="s">
        <v>1084</v>
      </c>
    </row>
    <row r="1550" spans="1:3">
      <c r="A1550" s="10" t="s">
        <v>85</v>
      </c>
      <c r="B1550" s="2" t="s">
        <v>2904</v>
      </c>
      <c r="C1550" s="11" t="s">
        <v>2905</v>
      </c>
    </row>
    <row r="1551" spans="1:3">
      <c r="A1551" s="10" t="s">
        <v>85</v>
      </c>
      <c r="B1551" s="2" t="s">
        <v>2906</v>
      </c>
      <c r="C1551" s="11" t="s">
        <v>2907</v>
      </c>
    </row>
    <row r="1552" spans="1:3">
      <c r="A1552" s="10" t="s">
        <v>85</v>
      </c>
      <c r="B1552" s="2" t="s">
        <v>2908</v>
      </c>
      <c r="C1552" s="11" t="s">
        <v>2909</v>
      </c>
    </row>
    <row r="1553" spans="1:3">
      <c r="A1553" s="10" t="s">
        <v>85</v>
      </c>
      <c r="B1553" s="2" t="s">
        <v>2910</v>
      </c>
      <c r="C1553" s="11" t="s">
        <v>2911</v>
      </c>
    </row>
    <row r="1554" spans="1:3">
      <c r="A1554" s="10" t="s">
        <v>85</v>
      </c>
      <c r="B1554" s="2" t="s">
        <v>2912</v>
      </c>
      <c r="C1554" s="11" t="s">
        <v>2913</v>
      </c>
    </row>
    <row r="1555" spans="1:3">
      <c r="A1555" s="10" t="s">
        <v>85</v>
      </c>
      <c r="B1555" s="2" t="s">
        <v>1089</v>
      </c>
      <c r="C1555" s="11" t="s">
        <v>1074</v>
      </c>
    </row>
    <row r="1556" spans="1:3">
      <c r="A1556" s="10" t="s">
        <v>85</v>
      </c>
      <c r="B1556" s="2" t="s">
        <v>2914</v>
      </c>
      <c r="C1556" s="11" t="s">
        <v>2915</v>
      </c>
    </row>
    <row r="1557" spans="1:3">
      <c r="A1557" s="10" t="s">
        <v>85</v>
      </c>
      <c r="B1557" s="2" t="s">
        <v>2916</v>
      </c>
      <c r="C1557" s="11" t="s">
        <v>2917</v>
      </c>
    </row>
    <row r="1558" spans="1:3">
      <c r="A1558" s="10" t="s">
        <v>85</v>
      </c>
      <c r="B1558" s="2" t="s">
        <v>2918</v>
      </c>
      <c r="C1558" s="11" t="s">
        <v>2919</v>
      </c>
    </row>
    <row r="1559" spans="1:3">
      <c r="A1559" s="10" t="s">
        <v>85</v>
      </c>
      <c r="B1559" s="2" t="s">
        <v>2920</v>
      </c>
      <c r="C1559" s="11" t="s">
        <v>2921</v>
      </c>
    </row>
    <row r="1560" spans="1:3">
      <c r="A1560" s="10" t="s">
        <v>85</v>
      </c>
      <c r="B1560" s="2" t="s">
        <v>2922</v>
      </c>
      <c r="C1560" s="11" t="s">
        <v>2923</v>
      </c>
    </row>
    <row r="1561" spans="1:3">
      <c r="A1561" s="10" t="s">
        <v>85</v>
      </c>
      <c r="B1561" s="2" t="s">
        <v>2924</v>
      </c>
      <c r="C1561" s="11" t="s">
        <v>2925</v>
      </c>
    </row>
    <row r="1562" spans="1:3">
      <c r="A1562" s="10" t="s">
        <v>85</v>
      </c>
      <c r="B1562" s="2" t="s">
        <v>2926</v>
      </c>
      <c r="C1562" s="11" t="s">
        <v>2927</v>
      </c>
    </row>
    <row r="1563" spans="1:3">
      <c r="A1563" s="10" t="s">
        <v>85</v>
      </c>
      <c r="B1563" s="2" t="s">
        <v>1104</v>
      </c>
      <c r="C1563" s="11" t="s">
        <v>1105</v>
      </c>
    </row>
    <row r="1564" spans="1:3">
      <c r="A1564" s="10" t="s">
        <v>85</v>
      </c>
      <c r="B1564" s="2" t="s">
        <v>2928</v>
      </c>
      <c r="C1564" s="11" t="s">
        <v>2929</v>
      </c>
    </row>
    <row r="1565" spans="1:3">
      <c r="A1565" s="10" t="s">
        <v>85</v>
      </c>
      <c r="B1565" s="2" t="s">
        <v>2930</v>
      </c>
      <c r="C1565" s="11" t="s">
        <v>2931</v>
      </c>
    </row>
    <row r="1566" spans="1:3">
      <c r="A1566" s="10" t="s">
        <v>85</v>
      </c>
      <c r="B1566" s="2" t="s">
        <v>2932</v>
      </c>
      <c r="C1566" s="11" t="s">
        <v>2933</v>
      </c>
    </row>
    <row r="1567" spans="1:3">
      <c r="A1567" s="10" t="s">
        <v>85</v>
      </c>
      <c r="B1567" s="2" t="s">
        <v>1110</v>
      </c>
      <c r="C1567" s="11" t="s">
        <v>1111</v>
      </c>
    </row>
    <row r="1568" spans="1:3">
      <c r="A1568" s="10" t="s">
        <v>85</v>
      </c>
      <c r="B1568" s="2" t="s">
        <v>2934</v>
      </c>
      <c r="C1568" s="11" t="s">
        <v>2935</v>
      </c>
    </row>
    <row r="1569" spans="1:3">
      <c r="A1569" s="10" t="s">
        <v>85</v>
      </c>
      <c r="B1569" s="2" t="s">
        <v>2936</v>
      </c>
      <c r="C1569" s="11" t="s">
        <v>2937</v>
      </c>
    </row>
    <row r="1570" spans="1:3">
      <c r="A1570" s="10" t="s">
        <v>85</v>
      </c>
      <c r="B1570" s="2" t="s">
        <v>2938</v>
      </c>
      <c r="C1570" s="11" t="s">
        <v>2939</v>
      </c>
    </row>
    <row r="1571" spans="1:3">
      <c r="A1571" s="10" t="s">
        <v>85</v>
      </c>
      <c r="B1571" s="2" t="s">
        <v>2940</v>
      </c>
      <c r="C1571" s="11" t="s">
        <v>2941</v>
      </c>
    </row>
    <row r="1572" spans="1:3">
      <c r="A1572" s="10" t="s">
        <v>85</v>
      </c>
      <c r="B1572" s="2" t="s">
        <v>2942</v>
      </c>
      <c r="C1572" s="11" t="s">
        <v>2943</v>
      </c>
    </row>
    <row r="1573" spans="1:3">
      <c r="A1573" s="10" t="s">
        <v>149</v>
      </c>
      <c r="B1573" s="2" t="s">
        <v>2944</v>
      </c>
      <c r="C1573" s="11" t="s">
        <v>2385</v>
      </c>
    </row>
    <row r="1574" spans="1:3">
      <c r="A1574" s="10" t="s">
        <v>149</v>
      </c>
      <c r="B1574" s="2" t="s">
        <v>2945</v>
      </c>
      <c r="C1574" s="11" t="s">
        <v>2946</v>
      </c>
    </row>
    <row r="1575" spans="1:3">
      <c r="A1575" s="10" t="s">
        <v>149</v>
      </c>
      <c r="B1575" s="2" t="s">
        <v>2947</v>
      </c>
      <c r="C1575" s="11" t="s">
        <v>2948</v>
      </c>
    </row>
    <row r="1576" spans="1:3">
      <c r="A1576" s="10" t="s">
        <v>149</v>
      </c>
      <c r="B1576" s="2" t="s">
        <v>2949</v>
      </c>
      <c r="C1576" s="11" t="s">
        <v>2950</v>
      </c>
    </row>
    <row r="1577" spans="1:3">
      <c r="A1577" s="10" t="s">
        <v>149</v>
      </c>
      <c r="B1577" s="2" t="s">
        <v>2951</v>
      </c>
      <c r="C1577" s="11" t="s">
        <v>2952</v>
      </c>
    </row>
    <row r="1578" spans="1:3">
      <c r="A1578" s="10" t="s">
        <v>149</v>
      </c>
      <c r="B1578" s="2" t="s">
        <v>2953</v>
      </c>
      <c r="C1578" s="11" t="s">
        <v>567</v>
      </c>
    </row>
    <row r="1579" spans="1:3">
      <c r="A1579" s="10" t="s">
        <v>149</v>
      </c>
      <c r="B1579" s="2" t="s">
        <v>1183</v>
      </c>
      <c r="C1579" s="11" t="s">
        <v>1184</v>
      </c>
    </row>
    <row r="1580" spans="1:3">
      <c r="A1580" s="10" t="s">
        <v>149</v>
      </c>
      <c r="B1580" s="2" t="s">
        <v>2954</v>
      </c>
      <c r="C1580" s="11" t="s">
        <v>2955</v>
      </c>
    </row>
    <row r="1581" spans="1:3">
      <c r="A1581" s="10" t="s">
        <v>149</v>
      </c>
      <c r="B1581" s="2" t="s">
        <v>2956</v>
      </c>
      <c r="C1581" s="11" t="s">
        <v>2957</v>
      </c>
    </row>
    <row r="1582" spans="1:3">
      <c r="A1582" s="10" t="s">
        <v>149</v>
      </c>
      <c r="B1582" s="2" t="s">
        <v>384</v>
      </c>
      <c r="C1582" s="11" t="s">
        <v>385</v>
      </c>
    </row>
    <row r="1583" spans="1:3">
      <c r="A1583" s="10" t="s">
        <v>149</v>
      </c>
      <c r="B1583" s="2" t="s">
        <v>392</v>
      </c>
      <c r="C1583" s="11" t="s">
        <v>393</v>
      </c>
    </row>
    <row r="1584" spans="1:3">
      <c r="A1584" s="10" t="s">
        <v>149</v>
      </c>
      <c r="B1584" s="2" t="s">
        <v>411</v>
      </c>
      <c r="C1584" s="11" t="s">
        <v>412</v>
      </c>
    </row>
    <row r="1585" spans="1:3">
      <c r="A1585" s="10" t="s">
        <v>149</v>
      </c>
      <c r="B1585" s="2" t="s">
        <v>2958</v>
      </c>
      <c r="C1585" s="11" t="s">
        <v>2052</v>
      </c>
    </row>
    <row r="1586" spans="1:3">
      <c r="A1586" s="10" t="s">
        <v>149</v>
      </c>
      <c r="B1586" s="2" t="s">
        <v>2959</v>
      </c>
      <c r="C1586" s="11" t="s">
        <v>2960</v>
      </c>
    </row>
    <row r="1587" spans="1:3">
      <c r="A1587" s="10" t="s">
        <v>149</v>
      </c>
      <c r="B1587" s="2" t="s">
        <v>2961</v>
      </c>
      <c r="C1587" s="11" t="s">
        <v>2962</v>
      </c>
    </row>
    <row r="1588" spans="1:3">
      <c r="A1588" s="10" t="s">
        <v>149</v>
      </c>
      <c r="B1588" s="2" t="s">
        <v>2963</v>
      </c>
      <c r="C1588" s="11" t="s">
        <v>287</v>
      </c>
    </row>
    <row r="1589" spans="1:3">
      <c r="A1589" s="10" t="s">
        <v>149</v>
      </c>
      <c r="B1589" s="2" t="s">
        <v>2964</v>
      </c>
      <c r="C1589" s="11" t="s">
        <v>2965</v>
      </c>
    </row>
    <row r="1590" spans="1:3">
      <c r="A1590" s="10" t="s">
        <v>149</v>
      </c>
      <c r="B1590" s="2" t="s">
        <v>2966</v>
      </c>
      <c r="C1590" s="11" t="s">
        <v>2967</v>
      </c>
    </row>
    <row r="1591" spans="1:3">
      <c r="A1591" s="10" t="s">
        <v>149</v>
      </c>
      <c r="B1591" s="2" t="s">
        <v>2968</v>
      </c>
      <c r="C1591" s="11" t="s">
        <v>2969</v>
      </c>
    </row>
    <row r="1592" spans="1:3">
      <c r="A1592" s="10" t="s">
        <v>149</v>
      </c>
      <c r="B1592" s="2" t="s">
        <v>2970</v>
      </c>
      <c r="C1592" s="11" t="s">
        <v>2971</v>
      </c>
    </row>
    <row r="1593" spans="1:3">
      <c r="A1593" s="10" t="s">
        <v>149</v>
      </c>
      <c r="B1593" s="2" t="s">
        <v>2972</v>
      </c>
      <c r="C1593" s="11" t="s">
        <v>2973</v>
      </c>
    </row>
    <row r="1594" spans="1:3">
      <c r="A1594" s="10" t="s">
        <v>149</v>
      </c>
      <c r="B1594" s="2" t="s">
        <v>2974</v>
      </c>
      <c r="C1594" s="11" t="s">
        <v>2975</v>
      </c>
    </row>
    <row r="1595" spans="1:3">
      <c r="A1595" s="10" t="s">
        <v>149</v>
      </c>
      <c r="B1595" s="2" t="s">
        <v>2976</v>
      </c>
      <c r="C1595" s="11" t="s">
        <v>2977</v>
      </c>
    </row>
    <row r="1596" spans="1:3">
      <c r="A1596" s="10" t="s">
        <v>149</v>
      </c>
      <c r="B1596" s="2" t="s">
        <v>2978</v>
      </c>
      <c r="C1596" s="11" t="s">
        <v>2979</v>
      </c>
    </row>
    <row r="1597" spans="1:3">
      <c r="A1597" s="10" t="s">
        <v>149</v>
      </c>
      <c r="B1597" s="2" t="s">
        <v>502</v>
      </c>
      <c r="C1597" s="11" t="s">
        <v>503</v>
      </c>
    </row>
    <row r="1598" spans="1:3">
      <c r="A1598" s="10" t="s">
        <v>149</v>
      </c>
      <c r="B1598" s="2" t="s">
        <v>2980</v>
      </c>
      <c r="C1598" s="11" t="s">
        <v>1250</v>
      </c>
    </row>
    <row r="1599" spans="1:3">
      <c r="A1599" s="10" t="s">
        <v>149</v>
      </c>
      <c r="B1599" s="2" t="s">
        <v>2184</v>
      </c>
      <c r="C1599" s="11" t="s">
        <v>509</v>
      </c>
    </row>
    <row r="1600" spans="1:3">
      <c r="A1600" s="10" t="s">
        <v>149</v>
      </c>
      <c r="B1600" s="2" t="s">
        <v>2981</v>
      </c>
      <c r="C1600" s="11" t="s">
        <v>2982</v>
      </c>
    </row>
    <row r="1601" spans="1:3">
      <c r="A1601" s="10" t="s">
        <v>149</v>
      </c>
      <c r="B1601" s="2" t="s">
        <v>2983</v>
      </c>
      <c r="C1601" s="11" t="s">
        <v>2984</v>
      </c>
    </row>
    <row r="1602" spans="1:3">
      <c r="A1602" s="10" t="s">
        <v>149</v>
      </c>
      <c r="B1602" s="2" t="s">
        <v>1325</v>
      </c>
      <c r="C1602" s="11" t="s">
        <v>1326</v>
      </c>
    </row>
    <row r="1603" spans="1:3">
      <c r="A1603" s="10" t="s">
        <v>149</v>
      </c>
      <c r="B1603" s="2" t="s">
        <v>2985</v>
      </c>
      <c r="C1603" s="11" t="s">
        <v>2986</v>
      </c>
    </row>
    <row r="1604" spans="1:3">
      <c r="A1604" s="10" t="s">
        <v>149</v>
      </c>
      <c r="B1604" s="2" t="s">
        <v>2236</v>
      </c>
      <c r="C1604" s="11" t="s">
        <v>2237</v>
      </c>
    </row>
    <row r="1605" spans="1:3">
      <c r="A1605" s="10" t="s">
        <v>149</v>
      </c>
      <c r="B1605" s="2" t="s">
        <v>1348</v>
      </c>
      <c r="C1605" s="11" t="s">
        <v>1349</v>
      </c>
    </row>
    <row r="1606" spans="1:3">
      <c r="A1606" s="10" t="s">
        <v>149</v>
      </c>
      <c r="B1606" s="2" t="s">
        <v>2987</v>
      </c>
      <c r="C1606" s="11" t="s">
        <v>2988</v>
      </c>
    </row>
    <row r="1607" spans="1:3">
      <c r="A1607" s="10" t="s">
        <v>149</v>
      </c>
      <c r="B1607" s="2" t="s">
        <v>2989</v>
      </c>
      <c r="C1607" s="11" t="s">
        <v>483</v>
      </c>
    </row>
    <row r="1608" spans="1:3">
      <c r="A1608" s="10" t="s">
        <v>149</v>
      </c>
      <c r="B1608" s="2" t="s">
        <v>597</v>
      </c>
      <c r="C1608" s="11" t="s">
        <v>598</v>
      </c>
    </row>
    <row r="1609" spans="1:3">
      <c r="A1609" s="10" t="s">
        <v>149</v>
      </c>
      <c r="B1609" s="2" t="s">
        <v>2990</v>
      </c>
      <c r="C1609" s="11" t="s">
        <v>2991</v>
      </c>
    </row>
    <row r="1610" spans="1:3">
      <c r="A1610" s="10" t="s">
        <v>149</v>
      </c>
      <c r="B1610" s="2" t="s">
        <v>2992</v>
      </c>
      <c r="C1610" s="11" t="s">
        <v>2993</v>
      </c>
    </row>
    <row r="1611" spans="1:3">
      <c r="A1611" s="10" t="s">
        <v>149</v>
      </c>
      <c r="B1611" s="2" t="s">
        <v>607</v>
      </c>
      <c r="C1611" s="11" t="s">
        <v>608</v>
      </c>
    </row>
    <row r="1612" spans="1:3">
      <c r="A1612" s="10" t="s">
        <v>149</v>
      </c>
      <c r="B1612" s="2" t="s">
        <v>622</v>
      </c>
      <c r="C1612" s="11" t="s">
        <v>623</v>
      </c>
    </row>
    <row r="1613" spans="1:3">
      <c r="A1613" s="10" t="s">
        <v>149</v>
      </c>
      <c r="B1613" s="2" t="s">
        <v>626</v>
      </c>
      <c r="C1613" s="11" t="s">
        <v>627</v>
      </c>
    </row>
    <row r="1614" spans="1:3">
      <c r="A1614" s="10" t="s">
        <v>149</v>
      </c>
      <c r="B1614" s="2" t="s">
        <v>2994</v>
      </c>
      <c r="C1614" s="11" t="s">
        <v>2995</v>
      </c>
    </row>
    <row r="1615" spans="1:3">
      <c r="A1615" s="10" t="s">
        <v>149</v>
      </c>
      <c r="B1615" s="2" t="s">
        <v>633</v>
      </c>
      <c r="C1615" s="11" t="s">
        <v>634</v>
      </c>
    </row>
    <row r="1616" spans="1:3">
      <c r="A1616" s="10" t="s">
        <v>149</v>
      </c>
      <c r="B1616" s="2" t="s">
        <v>2996</v>
      </c>
      <c r="C1616" s="11" t="s">
        <v>2997</v>
      </c>
    </row>
    <row r="1617" spans="1:3">
      <c r="A1617" s="10" t="s">
        <v>149</v>
      </c>
      <c r="B1617" s="2" t="s">
        <v>2349</v>
      </c>
      <c r="C1617" s="11" t="s">
        <v>2350</v>
      </c>
    </row>
    <row r="1618" spans="1:3">
      <c r="A1618" s="10" t="s">
        <v>149</v>
      </c>
      <c r="B1618" s="2" t="s">
        <v>1434</v>
      </c>
      <c r="C1618" s="11" t="s">
        <v>1435</v>
      </c>
    </row>
    <row r="1619" spans="1:3">
      <c r="A1619" s="10" t="s">
        <v>149</v>
      </c>
      <c r="B1619" s="2" t="s">
        <v>2998</v>
      </c>
      <c r="C1619" s="11" t="s">
        <v>2999</v>
      </c>
    </row>
    <row r="1620" spans="1:3">
      <c r="A1620" s="10" t="s">
        <v>149</v>
      </c>
      <c r="B1620" s="2" t="s">
        <v>647</v>
      </c>
      <c r="C1620" s="11" t="s">
        <v>648</v>
      </c>
    </row>
    <row r="1621" spans="1:3">
      <c r="A1621" s="10" t="s">
        <v>149</v>
      </c>
      <c r="B1621" s="2" t="s">
        <v>3000</v>
      </c>
      <c r="C1621" s="11" t="s">
        <v>3001</v>
      </c>
    </row>
    <row r="1622" spans="1:3">
      <c r="A1622" s="10" t="s">
        <v>149</v>
      </c>
      <c r="B1622" s="2" t="s">
        <v>3002</v>
      </c>
      <c r="C1622" s="11" t="s">
        <v>3003</v>
      </c>
    </row>
    <row r="1623" spans="1:3">
      <c r="A1623" s="10" t="s">
        <v>149</v>
      </c>
      <c r="B1623" s="2" t="s">
        <v>2396</v>
      </c>
      <c r="C1623" s="11" t="s">
        <v>483</v>
      </c>
    </row>
    <row r="1624" spans="1:3">
      <c r="A1624" s="10" t="s">
        <v>149</v>
      </c>
      <c r="B1624" s="2" t="s">
        <v>3004</v>
      </c>
      <c r="C1624" s="11" t="s">
        <v>3005</v>
      </c>
    </row>
    <row r="1625" spans="1:3">
      <c r="A1625" s="10" t="s">
        <v>149</v>
      </c>
      <c r="B1625" s="2" t="s">
        <v>2417</v>
      </c>
      <c r="C1625" s="11" t="s">
        <v>2418</v>
      </c>
    </row>
    <row r="1626" spans="1:3">
      <c r="A1626" s="10" t="s">
        <v>149</v>
      </c>
      <c r="B1626" s="2" t="s">
        <v>3006</v>
      </c>
      <c r="C1626" s="11" t="s">
        <v>3007</v>
      </c>
    </row>
    <row r="1627" spans="1:3">
      <c r="A1627" s="10" t="s">
        <v>149</v>
      </c>
      <c r="B1627" s="2" t="s">
        <v>3008</v>
      </c>
      <c r="C1627" s="11" t="s">
        <v>3009</v>
      </c>
    </row>
    <row r="1628" spans="1:3">
      <c r="A1628" s="10" t="s">
        <v>149</v>
      </c>
      <c r="B1628" s="2" t="s">
        <v>3010</v>
      </c>
      <c r="C1628" s="11" t="s">
        <v>3011</v>
      </c>
    </row>
    <row r="1629" spans="1:3">
      <c r="A1629" s="10" t="s">
        <v>149</v>
      </c>
      <c r="B1629" s="2" t="s">
        <v>3012</v>
      </c>
      <c r="C1629" s="11" t="s">
        <v>3013</v>
      </c>
    </row>
    <row r="1630" spans="1:3">
      <c r="A1630" s="10" t="s">
        <v>149</v>
      </c>
      <c r="B1630" s="2" t="s">
        <v>776</v>
      </c>
      <c r="C1630" s="11" t="s">
        <v>777</v>
      </c>
    </row>
    <row r="1631" spans="1:3">
      <c r="A1631" s="10" t="s">
        <v>149</v>
      </c>
      <c r="B1631" s="2" t="s">
        <v>3014</v>
      </c>
      <c r="C1631" s="11" t="s">
        <v>2579</v>
      </c>
    </row>
    <row r="1632" spans="1:3">
      <c r="A1632" s="10" t="s">
        <v>149</v>
      </c>
      <c r="B1632" s="2" t="s">
        <v>3015</v>
      </c>
      <c r="C1632" s="11" t="s">
        <v>1954</v>
      </c>
    </row>
    <row r="1633" spans="1:3">
      <c r="A1633" s="10" t="s">
        <v>149</v>
      </c>
      <c r="B1633" s="2" t="s">
        <v>3016</v>
      </c>
      <c r="C1633" s="11" t="s">
        <v>3017</v>
      </c>
    </row>
    <row r="1634" spans="1:3">
      <c r="A1634" s="10" t="s">
        <v>149</v>
      </c>
      <c r="B1634" s="2" t="s">
        <v>3018</v>
      </c>
      <c r="C1634" s="11" t="s">
        <v>3019</v>
      </c>
    </row>
    <row r="1635" spans="1:3">
      <c r="A1635" s="10" t="s">
        <v>149</v>
      </c>
      <c r="B1635" s="2" t="s">
        <v>3020</v>
      </c>
      <c r="C1635" s="11" t="s">
        <v>3021</v>
      </c>
    </row>
    <row r="1636" spans="1:3">
      <c r="A1636" s="10" t="s">
        <v>149</v>
      </c>
      <c r="B1636" s="2" t="s">
        <v>3022</v>
      </c>
      <c r="C1636" s="11" t="s">
        <v>467</v>
      </c>
    </row>
    <row r="1637" spans="1:3">
      <c r="A1637" s="10" t="s">
        <v>149</v>
      </c>
      <c r="B1637" s="2" t="s">
        <v>3023</v>
      </c>
      <c r="C1637" s="11" t="s">
        <v>3024</v>
      </c>
    </row>
    <row r="1638" spans="1:3">
      <c r="A1638" s="10" t="s">
        <v>149</v>
      </c>
      <c r="B1638" s="2" t="s">
        <v>2645</v>
      </c>
      <c r="C1638" s="11" t="s">
        <v>2646</v>
      </c>
    </row>
    <row r="1639" spans="1:3">
      <c r="A1639" s="10" t="s">
        <v>149</v>
      </c>
      <c r="B1639" s="2" t="s">
        <v>1665</v>
      </c>
      <c r="C1639" s="11" t="s">
        <v>1666</v>
      </c>
    </row>
    <row r="1640" spans="1:3">
      <c r="A1640" s="10" t="s">
        <v>149</v>
      </c>
      <c r="B1640" s="2" t="s">
        <v>2663</v>
      </c>
      <c r="C1640" s="11" t="s">
        <v>2664</v>
      </c>
    </row>
    <row r="1641" spans="1:3">
      <c r="A1641" s="10" t="s">
        <v>149</v>
      </c>
      <c r="B1641" s="2" t="s">
        <v>2677</v>
      </c>
      <c r="C1641" s="11" t="s">
        <v>2678</v>
      </c>
    </row>
    <row r="1642" spans="1:3">
      <c r="A1642" s="10" t="s">
        <v>149</v>
      </c>
      <c r="B1642" s="2" t="s">
        <v>3025</v>
      </c>
      <c r="C1642" s="11" t="s">
        <v>3026</v>
      </c>
    </row>
    <row r="1643" spans="1:3">
      <c r="A1643" s="10" t="s">
        <v>149</v>
      </c>
      <c r="B1643" s="2" t="s">
        <v>1694</v>
      </c>
      <c r="C1643" s="11" t="s">
        <v>1695</v>
      </c>
    </row>
    <row r="1644" spans="1:3">
      <c r="A1644" s="10" t="s">
        <v>149</v>
      </c>
      <c r="B1644" s="2" t="s">
        <v>878</v>
      </c>
      <c r="C1644" s="11" t="s">
        <v>823</v>
      </c>
    </row>
    <row r="1645" spans="1:3">
      <c r="A1645" s="10" t="s">
        <v>149</v>
      </c>
      <c r="B1645" s="2" t="s">
        <v>3027</v>
      </c>
      <c r="C1645" s="11" t="s">
        <v>3028</v>
      </c>
    </row>
    <row r="1646" spans="1:3">
      <c r="A1646" s="10" t="s">
        <v>149</v>
      </c>
      <c r="B1646" s="2" t="s">
        <v>899</v>
      </c>
      <c r="C1646" s="11" t="s">
        <v>900</v>
      </c>
    </row>
    <row r="1647" spans="1:3">
      <c r="A1647" s="10" t="s">
        <v>149</v>
      </c>
      <c r="B1647" s="2" t="s">
        <v>3029</v>
      </c>
      <c r="C1647" s="11" t="s">
        <v>3030</v>
      </c>
    </row>
    <row r="1648" spans="1:3">
      <c r="A1648" s="10" t="s">
        <v>149</v>
      </c>
      <c r="B1648" s="2" t="s">
        <v>3031</v>
      </c>
      <c r="C1648" s="11" t="s">
        <v>3032</v>
      </c>
    </row>
    <row r="1649" spans="1:3">
      <c r="A1649" s="10" t="s">
        <v>149</v>
      </c>
      <c r="B1649" s="2" t="s">
        <v>932</v>
      </c>
      <c r="C1649" s="11" t="s">
        <v>483</v>
      </c>
    </row>
    <row r="1650" spans="1:3">
      <c r="A1650" s="10" t="s">
        <v>149</v>
      </c>
      <c r="B1650" s="2" t="s">
        <v>3033</v>
      </c>
      <c r="C1650" s="11" t="s">
        <v>3034</v>
      </c>
    </row>
    <row r="1651" spans="1:3">
      <c r="A1651" s="10" t="s">
        <v>149</v>
      </c>
      <c r="B1651" s="2" t="s">
        <v>3035</v>
      </c>
      <c r="C1651" s="11" t="s">
        <v>3036</v>
      </c>
    </row>
    <row r="1652" spans="1:3">
      <c r="A1652" s="10" t="s">
        <v>149</v>
      </c>
      <c r="B1652" s="2" t="s">
        <v>3037</v>
      </c>
      <c r="C1652" s="11" t="s">
        <v>3038</v>
      </c>
    </row>
    <row r="1653" spans="1:3">
      <c r="A1653" s="10" t="s">
        <v>149</v>
      </c>
      <c r="B1653" s="2" t="s">
        <v>958</v>
      </c>
      <c r="C1653" s="11" t="s">
        <v>959</v>
      </c>
    </row>
    <row r="1654" spans="1:3">
      <c r="A1654" s="10" t="s">
        <v>149</v>
      </c>
      <c r="B1654" s="2" t="s">
        <v>3039</v>
      </c>
      <c r="C1654" s="11" t="s">
        <v>3040</v>
      </c>
    </row>
    <row r="1655" spans="1:3">
      <c r="A1655" s="10" t="s">
        <v>149</v>
      </c>
      <c r="B1655" s="2" t="s">
        <v>975</v>
      </c>
      <c r="C1655" s="11" t="s">
        <v>976</v>
      </c>
    </row>
    <row r="1656" spans="1:3">
      <c r="A1656" s="10" t="s">
        <v>149</v>
      </c>
      <c r="B1656" s="2" t="s">
        <v>1807</v>
      </c>
      <c r="C1656" s="11" t="s">
        <v>1808</v>
      </c>
    </row>
    <row r="1657" spans="1:3">
      <c r="A1657" s="10" t="s">
        <v>149</v>
      </c>
      <c r="B1657" s="2" t="s">
        <v>2829</v>
      </c>
      <c r="C1657" s="11" t="s">
        <v>2830</v>
      </c>
    </row>
    <row r="1658" spans="1:3">
      <c r="A1658" s="10" t="s">
        <v>149</v>
      </c>
      <c r="B1658" s="2" t="s">
        <v>3041</v>
      </c>
      <c r="C1658" s="11" t="s">
        <v>3042</v>
      </c>
    </row>
    <row r="1659" spans="1:3">
      <c r="A1659" s="10" t="s">
        <v>149</v>
      </c>
      <c r="B1659" s="2" t="s">
        <v>2839</v>
      </c>
      <c r="C1659" s="11" t="s">
        <v>467</v>
      </c>
    </row>
    <row r="1660" spans="1:3">
      <c r="A1660" s="10" t="s">
        <v>149</v>
      </c>
      <c r="B1660" s="2" t="s">
        <v>3043</v>
      </c>
      <c r="C1660" s="11" t="s">
        <v>3044</v>
      </c>
    </row>
    <row r="1661" spans="1:3">
      <c r="A1661" s="10" t="s">
        <v>149</v>
      </c>
      <c r="B1661" s="2" t="s">
        <v>3045</v>
      </c>
      <c r="C1661" s="11" t="s">
        <v>3046</v>
      </c>
    </row>
    <row r="1662" spans="1:3">
      <c r="A1662" s="10" t="s">
        <v>149</v>
      </c>
      <c r="B1662" s="2" t="s">
        <v>1026</v>
      </c>
      <c r="C1662" s="11" t="s">
        <v>1027</v>
      </c>
    </row>
    <row r="1663" spans="1:3">
      <c r="A1663" s="10" t="s">
        <v>149</v>
      </c>
      <c r="B1663" s="2" t="s">
        <v>3047</v>
      </c>
      <c r="C1663" s="11" t="s">
        <v>3048</v>
      </c>
    </row>
    <row r="1664" spans="1:3">
      <c r="A1664" s="10" t="s">
        <v>149</v>
      </c>
      <c r="B1664" s="2" t="s">
        <v>2872</v>
      </c>
      <c r="C1664" s="11" t="s">
        <v>2873</v>
      </c>
    </row>
    <row r="1665" spans="1:3">
      <c r="A1665" s="10" t="s">
        <v>149</v>
      </c>
      <c r="B1665" s="2" t="s">
        <v>3049</v>
      </c>
      <c r="C1665" s="11" t="s">
        <v>3050</v>
      </c>
    </row>
    <row r="1666" spans="1:3">
      <c r="A1666" s="10" t="s">
        <v>149</v>
      </c>
      <c r="B1666" s="2" t="s">
        <v>2893</v>
      </c>
      <c r="C1666" s="11" t="s">
        <v>483</v>
      </c>
    </row>
    <row r="1667" spans="1:3">
      <c r="A1667" s="10" t="s">
        <v>149</v>
      </c>
      <c r="B1667" s="2" t="s">
        <v>1890</v>
      </c>
      <c r="C1667" s="11" t="s">
        <v>1891</v>
      </c>
    </row>
    <row r="1668" s="1" customFormat="1" spans="1:3">
      <c r="A1668" s="13" t="s">
        <v>149</v>
      </c>
      <c r="B1668" s="24" t="s">
        <v>2922</v>
      </c>
      <c r="C1668" s="14" t="s">
        <v>2923</v>
      </c>
    </row>
  </sheetData>
  <mergeCells count="1">
    <mergeCell ref="A1:C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workbookViewId="0">
      <selection activeCell="C9" sqref="C9"/>
    </sheetView>
  </sheetViews>
  <sheetFormatPr defaultColWidth="9.25" defaultRowHeight="17.6" outlineLevelCol="7"/>
  <cols>
    <col min="1" max="2" width="27.125" style="2" customWidth="1"/>
    <col min="3" max="3" width="60.75" style="11" customWidth="1"/>
    <col min="4" max="4" width="22.625" style="2" customWidth="1"/>
    <col min="5" max="5" width="12.75" style="2" customWidth="1"/>
    <col min="6" max="6" width="12.375" style="2" customWidth="1"/>
    <col min="7" max="7" width="18.75" style="2" customWidth="1"/>
    <col min="8" max="8" width="32" style="2" customWidth="1"/>
    <col min="9" max="16384" width="9.25" style="4"/>
  </cols>
  <sheetData>
    <row r="1" spans="1:8">
      <c r="A1" s="18" t="s">
        <v>3051</v>
      </c>
      <c r="B1" s="5"/>
      <c r="C1" s="19"/>
      <c r="D1" s="5"/>
      <c r="E1" s="5"/>
      <c r="F1" s="5"/>
      <c r="G1" s="5"/>
      <c r="H1" s="5"/>
    </row>
    <row r="2" spans="1:8">
      <c r="A2" s="7" t="s">
        <v>1</v>
      </c>
      <c r="B2" s="7" t="s">
        <v>3052</v>
      </c>
      <c r="C2" s="8" t="s">
        <v>3053</v>
      </c>
      <c r="D2" s="7" t="s">
        <v>3054</v>
      </c>
      <c r="E2" s="7" t="s">
        <v>3055</v>
      </c>
      <c r="F2" s="7" t="s">
        <v>3056</v>
      </c>
      <c r="G2" s="7" t="s">
        <v>3057</v>
      </c>
      <c r="H2" s="7" t="s">
        <v>3058</v>
      </c>
    </row>
    <row r="3" spans="1:8">
      <c r="A3" s="10" t="s">
        <v>9</v>
      </c>
      <c r="B3" s="11" t="s">
        <v>3059</v>
      </c>
      <c r="C3" s="11" t="s">
        <v>3060</v>
      </c>
      <c r="D3" s="11" t="s">
        <v>3061</v>
      </c>
      <c r="E3" s="11">
        <v>2</v>
      </c>
      <c r="F3" s="12">
        <v>0.00671946188678806</v>
      </c>
      <c r="G3" s="12">
        <v>1.94110576923076</v>
      </c>
      <c r="H3" s="12">
        <v>0.619870359056199</v>
      </c>
    </row>
    <row r="4" spans="1:8">
      <c r="A4" s="10" t="s">
        <v>9</v>
      </c>
      <c r="B4" s="11" t="s">
        <v>3059</v>
      </c>
      <c r="C4" s="11" t="s">
        <v>3062</v>
      </c>
      <c r="D4" s="11" t="s">
        <v>3063</v>
      </c>
      <c r="E4" s="11">
        <v>3</v>
      </c>
      <c r="F4" s="12">
        <v>0.0126380907922506</v>
      </c>
      <c r="G4" s="12">
        <v>1.85592185592185</v>
      </c>
      <c r="H4" s="12">
        <v>0.666207928905784</v>
      </c>
    </row>
    <row r="5" spans="1:8">
      <c r="A5" s="10" t="s">
        <v>9</v>
      </c>
      <c r="B5" s="11" t="s">
        <v>3059</v>
      </c>
      <c r="C5" s="11" t="s">
        <v>3064</v>
      </c>
      <c r="D5" s="11" t="s">
        <v>3065</v>
      </c>
      <c r="E5" s="11">
        <v>6</v>
      </c>
      <c r="F5" s="12">
        <v>0.0135759055044277</v>
      </c>
      <c r="G5" s="12">
        <v>3.05903398926654</v>
      </c>
      <c r="H5" s="12">
        <v>0.556612125681538</v>
      </c>
    </row>
    <row r="6" spans="1:8">
      <c r="A6" s="10" t="s">
        <v>9</v>
      </c>
      <c r="B6" s="11" t="s">
        <v>3059</v>
      </c>
      <c r="C6" s="11" t="s">
        <v>3066</v>
      </c>
      <c r="D6" s="11" t="s">
        <v>3067</v>
      </c>
      <c r="E6" s="11">
        <v>6</v>
      </c>
      <c r="F6" s="12">
        <v>0.0192110577769105</v>
      </c>
      <c r="G6" s="12">
        <v>1.33816183816183</v>
      </c>
      <c r="H6" s="12">
        <v>0.472592021311999</v>
      </c>
    </row>
    <row r="7" spans="1:8">
      <c r="A7" s="10" t="s">
        <v>9</v>
      </c>
      <c r="B7" s="11" t="s">
        <v>3059</v>
      </c>
      <c r="C7" s="11" t="s">
        <v>3068</v>
      </c>
      <c r="D7" s="11" t="s">
        <v>3069</v>
      </c>
      <c r="E7" s="11">
        <v>5</v>
      </c>
      <c r="F7" s="12">
        <v>0.0218374850281833</v>
      </c>
      <c r="G7" s="12">
        <v>1.28621509449167</v>
      </c>
      <c r="H7" s="12">
        <v>0.503626998462479</v>
      </c>
    </row>
    <row r="8" spans="1:8">
      <c r="A8" s="10" t="s">
        <v>9</v>
      </c>
      <c r="B8" s="11" t="s">
        <v>3059</v>
      </c>
      <c r="C8" s="11" t="s">
        <v>3070</v>
      </c>
      <c r="D8" s="11" t="s">
        <v>3071</v>
      </c>
      <c r="E8" s="11">
        <v>4</v>
      </c>
      <c r="F8" s="12">
        <v>0.0218374850281833</v>
      </c>
      <c r="G8" s="12">
        <v>1.28621509449167</v>
      </c>
      <c r="H8" s="12">
        <v>0.503626998462479</v>
      </c>
    </row>
    <row r="9" spans="1:8">
      <c r="A9" s="10" t="s">
        <v>9</v>
      </c>
      <c r="B9" s="11" t="s">
        <v>3059</v>
      </c>
      <c r="C9" s="11" t="s">
        <v>3072</v>
      </c>
      <c r="D9" s="11" t="s">
        <v>3073</v>
      </c>
      <c r="E9" s="11">
        <v>7</v>
      </c>
      <c r="F9" s="12">
        <v>0.0240875369590448</v>
      </c>
      <c r="G9" s="12">
        <v>1.35470407512607</v>
      </c>
      <c r="H9" s="12">
        <v>0.240224355078042</v>
      </c>
    </row>
    <row r="10" spans="1:8">
      <c r="A10" s="10" t="s">
        <v>9</v>
      </c>
      <c r="B10" s="11" t="s">
        <v>3059</v>
      </c>
      <c r="C10" s="11" t="s">
        <v>3074</v>
      </c>
      <c r="D10" s="11" t="s">
        <v>3075</v>
      </c>
      <c r="E10" s="11">
        <v>4</v>
      </c>
      <c r="F10" s="12">
        <v>0.0245515248026467</v>
      </c>
      <c r="G10" s="12">
        <v>1.96860282574568</v>
      </c>
      <c r="H10" s="12">
        <v>0.238408227688859</v>
      </c>
    </row>
    <row r="11" spans="1:8">
      <c r="A11" s="10" t="s">
        <v>9</v>
      </c>
      <c r="B11" s="11" t="s">
        <v>3059</v>
      </c>
      <c r="C11" s="11" t="s">
        <v>3076</v>
      </c>
      <c r="D11" s="11" t="s">
        <v>3077</v>
      </c>
      <c r="E11" s="11">
        <v>4</v>
      </c>
      <c r="F11" s="12">
        <v>0.0367821822979487</v>
      </c>
      <c r="G11" s="12">
        <v>2.43589743589743</v>
      </c>
      <c r="H11" s="12">
        <v>0.331039640681538</v>
      </c>
    </row>
    <row r="12" spans="1:8">
      <c r="A12" s="10" t="s">
        <v>9</v>
      </c>
      <c r="B12" s="11" t="s">
        <v>3059</v>
      </c>
      <c r="C12" s="11" t="s">
        <v>3078</v>
      </c>
      <c r="D12" s="11" t="s">
        <v>3079</v>
      </c>
      <c r="E12" s="11">
        <v>4</v>
      </c>
      <c r="F12" s="12">
        <v>0.042608719240784</v>
      </c>
      <c r="G12" s="12">
        <v>2.60989010989011</v>
      </c>
      <c r="H12" s="12">
        <v>0.357332213632938</v>
      </c>
    </row>
    <row r="13" spans="1:8">
      <c r="A13" s="10" t="s">
        <v>9</v>
      </c>
      <c r="B13" s="11" t="s">
        <v>3059</v>
      </c>
      <c r="C13" s="11" t="s">
        <v>3080</v>
      </c>
      <c r="D13" s="11" t="s">
        <v>3081</v>
      </c>
      <c r="E13" s="11">
        <v>3</v>
      </c>
      <c r="F13" s="12">
        <v>0.0440481181159755</v>
      </c>
      <c r="G13" s="12">
        <v>1.22972771908942</v>
      </c>
      <c r="H13" s="12">
        <v>0.361194568550999</v>
      </c>
    </row>
    <row r="14" spans="1:8">
      <c r="A14" s="10" t="s">
        <v>9</v>
      </c>
      <c r="B14" s="11" t="s">
        <v>3082</v>
      </c>
      <c r="C14" s="11" t="s">
        <v>3083</v>
      </c>
      <c r="D14" s="11" t="s">
        <v>3084</v>
      </c>
      <c r="E14" s="11">
        <v>4</v>
      </c>
      <c r="F14" s="12">
        <v>0.00438031050827725</v>
      </c>
      <c r="G14" s="12">
        <v>4.61010269882971</v>
      </c>
      <c r="H14" s="12">
        <v>0.420509808794616</v>
      </c>
    </row>
    <row r="15" spans="1:8">
      <c r="A15" s="10" t="s">
        <v>9</v>
      </c>
      <c r="B15" s="11" t="s">
        <v>3082</v>
      </c>
      <c r="C15" s="11" t="s">
        <v>3085</v>
      </c>
      <c r="D15" s="11" t="s">
        <v>3086</v>
      </c>
      <c r="E15" s="11">
        <v>5</v>
      </c>
      <c r="F15" s="12">
        <v>0.00598744830062369</v>
      </c>
      <c r="G15" s="12">
        <v>4.28658671996446</v>
      </c>
      <c r="H15" s="12">
        <v>0.164227153388535</v>
      </c>
    </row>
    <row r="16" spans="1:8">
      <c r="A16" s="10" t="s">
        <v>9</v>
      </c>
      <c r="B16" s="11" t="s">
        <v>3082</v>
      </c>
      <c r="C16" s="11" t="s">
        <v>3087</v>
      </c>
      <c r="D16" s="11" t="s">
        <v>3088</v>
      </c>
      <c r="E16" s="11">
        <v>4</v>
      </c>
      <c r="F16" s="12">
        <v>0.00972911031785561</v>
      </c>
      <c r="G16" s="12">
        <v>3.81774129746835</v>
      </c>
      <c r="H16" s="12">
        <v>0.233498647628534</v>
      </c>
    </row>
    <row r="17" spans="1:8">
      <c r="A17" s="10" t="s">
        <v>9</v>
      </c>
      <c r="B17" s="11" t="s">
        <v>3082</v>
      </c>
      <c r="C17" s="11" t="s">
        <v>3089</v>
      </c>
      <c r="D17" s="11" t="s">
        <v>3090</v>
      </c>
      <c r="E17" s="11">
        <v>6</v>
      </c>
      <c r="F17" s="12">
        <v>0.0205659286085205</v>
      </c>
      <c r="G17" s="12">
        <v>2.53384903891233</v>
      </c>
      <c r="H17" s="12">
        <v>0.246791143302246</v>
      </c>
    </row>
    <row r="18" spans="1:8">
      <c r="A18" s="10" t="s">
        <v>9</v>
      </c>
      <c r="B18" s="11" t="s">
        <v>3082</v>
      </c>
      <c r="C18" s="11" t="s">
        <v>3091</v>
      </c>
      <c r="D18" s="11" t="s">
        <v>3092</v>
      </c>
      <c r="E18" s="11">
        <v>4</v>
      </c>
      <c r="F18" s="12">
        <v>0.0240659175700321</v>
      </c>
      <c r="G18" s="12">
        <v>1.62320748871381</v>
      </c>
      <c r="H18" s="12">
        <v>0.271803304320363</v>
      </c>
    </row>
    <row r="19" spans="1:8">
      <c r="A19" s="10" t="s">
        <v>9</v>
      </c>
      <c r="B19" s="11" t="s">
        <v>3093</v>
      </c>
      <c r="C19" s="11" t="s">
        <v>3094</v>
      </c>
      <c r="D19" s="11" t="s">
        <v>3095</v>
      </c>
      <c r="E19" s="11">
        <v>5</v>
      </c>
      <c r="F19" s="12">
        <v>0.013052958462961</v>
      </c>
      <c r="G19" s="12">
        <v>3.08400586940572</v>
      </c>
      <c r="H19" s="12">
        <v>1</v>
      </c>
    </row>
    <row r="20" spans="1:8">
      <c r="A20" s="10" t="s">
        <v>9</v>
      </c>
      <c r="B20" s="11" t="s">
        <v>3093</v>
      </c>
      <c r="C20" s="11" t="s">
        <v>3096</v>
      </c>
      <c r="D20" s="11" t="s">
        <v>3097</v>
      </c>
      <c r="E20" s="11">
        <v>5</v>
      </c>
      <c r="F20" s="12">
        <v>0.0254323017783781</v>
      </c>
      <c r="G20" s="12">
        <v>2.4265627577107</v>
      </c>
      <c r="H20" s="12">
        <v>0.391929936334649</v>
      </c>
    </row>
    <row r="21" s="1" customFormat="1" spans="1:8">
      <c r="A21" s="10" t="s">
        <v>9</v>
      </c>
      <c r="B21" s="11" t="s">
        <v>3093</v>
      </c>
      <c r="C21" s="11" t="s">
        <v>3098</v>
      </c>
      <c r="D21" s="11" t="s">
        <v>3099</v>
      </c>
      <c r="E21" s="11">
        <v>4</v>
      </c>
      <c r="F21" s="12">
        <v>0.0362745114910815</v>
      </c>
      <c r="G21" s="12">
        <v>2.72671250648676</v>
      </c>
      <c r="H21" s="12">
        <v>0.496903228838148</v>
      </c>
    </row>
    <row r="22" spans="1:8">
      <c r="A22" s="10" t="s">
        <v>9</v>
      </c>
      <c r="B22" s="11" t="s">
        <v>3093</v>
      </c>
      <c r="C22" s="11" t="s">
        <v>3100</v>
      </c>
      <c r="D22" s="11" t="s">
        <v>3101</v>
      </c>
      <c r="E22" s="11">
        <v>5</v>
      </c>
      <c r="F22" s="12">
        <v>0.0413690721389667</v>
      </c>
      <c r="G22" s="12">
        <v>2.63047559449311</v>
      </c>
      <c r="H22" s="12">
        <v>0.517413177622149</v>
      </c>
    </row>
    <row r="23" spans="1:8">
      <c r="A23" s="10" t="s">
        <v>9</v>
      </c>
      <c r="B23" s="11" t="s">
        <v>3093</v>
      </c>
      <c r="C23" s="11" t="s">
        <v>3102</v>
      </c>
      <c r="D23" s="11" t="s">
        <v>3103</v>
      </c>
      <c r="E23" s="11">
        <v>5</v>
      </c>
      <c r="F23" s="12">
        <v>0.0461281356541608</v>
      </c>
      <c r="G23" s="12">
        <v>2.00980157781496</v>
      </c>
      <c r="H23" s="12">
        <v>0.428049258812266</v>
      </c>
    </row>
    <row r="24" spans="1:8">
      <c r="A24" s="10" t="s">
        <v>3104</v>
      </c>
      <c r="B24" s="11" t="s">
        <v>3059</v>
      </c>
      <c r="C24" s="11" t="s">
        <v>3105</v>
      </c>
      <c r="D24" s="11" t="s">
        <v>3106</v>
      </c>
      <c r="E24" s="11">
        <v>4</v>
      </c>
      <c r="F24" s="12">
        <v>0.00125232364236482</v>
      </c>
      <c r="G24" s="12">
        <v>6.06867181261644</v>
      </c>
      <c r="H24" s="12">
        <v>0.242950786618776</v>
      </c>
    </row>
    <row r="25" spans="1:8">
      <c r="A25" s="10" t="s">
        <v>3104</v>
      </c>
      <c r="B25" s="11" t="s">
        <v>3059</v>
      </c>
      <c r="C25" s="11" t="s">
        <v>3107</v>
      </c>
      <c r="D25" s="11" t="s">
        <v>3108</v>
      </c>
      <c r="E25" s="11">
        <v>3</v>
      </c>
      <c r="F25" s="12">
        <v>0.0038917299380301</v>
      </c>
      <c r="G25" s="12">
        <v>3.4803467262716</v>
      </c>
      <c r="H25" s="12">
        <v>0.25166520265928</v>
      </c>
    </row>
    <row r="26" spans="1:8">
      <c r="A26" s="10" t="s">
        <v>3104</v>
      </c>
      <c r="B26" s="11" t="s">
        <v>3059</v>
      </c>
      <c r="C26" s="11" t="s">
        <v>3068</v>
      </c>
      <c r="D26" s="11" t="s">
        <v>3069</v>
      </c>
      <c r="E26" s="11">
        <v>5</v>
      </c>
      <c r="F26" s="12">
        <v>0.00420839906819825</v>
      </c>
      <c r="G26" s="12">
        <v>1.36187480593236</v>
      </c>
      <c r="H26" s="12">
        <v>0.23326554835156</v>
      </c>
    </row>
    <row r="27" spans="1:8">
      <c r="A27" s="10" t="s">
        <v>3104</v>
      </c>
      <c r="B27" s="11" t="s">
        <v>3059</v>
      </c>
      <c r="C27" s="11" t="s">
        <v>3070</v>
      </c>
      <c r="D27" s="11" t="s">
        <v>3071</v>
      </c>
      <c r="E27" s="11">
        <v>4</v>
      </c>
      <c r="F27" s="12">
        <v>0.00420839906819825</v>
      </c>
      <c r="G27" s="12">
        <v>1.36187480593236</v>
      </c>
      <c r="H27" s="12">
        <v>0.23326554835156</v>
      </c>
    </row>
    <row r="28" spans="1:8">
      <c r="A28" s="10" t="s">
        <v>3104</v>
      </c>
      <c r="B28" s="11" t="s">
        <v>3059</v>
      </c>
      <c r="C28" s="11" t="s">
        <v>3109</v>
      </c>
      <c r="D28" s="11" t="s">
        <v>3110</v>
      </c>
      <c r="E28" s="11">
        <v>2</v>
      </c>
      <c r="F28" s="12">
        <v>0.0044329922499019</v>
      </c>
      <c r="G28" s="12">
        <v>4.58521870286576</v>
      </c>
      <c r="H28" s="12">
        <v>0.191111221440215</v>
      </c>
    </row>
    <row r="29" spans="1:8">
      <c r="A29" s="10" t="s">
        <v>3104</v>
      </c>
      <c r="B29" s="11" t="s">
        <v>3059</v>
      </c>
      <c r="C29" s="11" t="s">
        <v>3080</v>
      </c>
      <c r="D29" s="11" t="s">
        <v>3081</v>
      </c>
      <c r="E29" s="11">
        <v>3</v>
      </c>
      <c r="F29" s="12">
        <v>0.0165359030036508</v>
      </c>
      <c r="G29" s="12">
        <v>1.27712087662025</v>
      </c>
      <c r="H29" s="12">
        <v>0.458280740386894</v>
      </c>
    </row>
    <row r="30" spans="1:8">
      <c r="A30" s="10" t="s">
        <v>3104</v>
      </c>
      <c r="B30" s="11" t="s">
        <v>3059</v>
      </c>
      <c r="C30" s="11" t="s">
        <v>3111</v>
      </c>
      <c r="D30" s="11" t="s">
        <v>3112</v>
      </c>
      <c r="E30" s="11">
        <v>7</v>
      </c>
      <c r="F30" s="12">
        <v>0.0350626653751191</v>
      </c>
      <c r="G30" s="12">
        <v>2.75113122171945</v>
      </c>
      <c r="H30" s="12">
        <v>0.388694690444178</v>
      </c>
    </row>
    <row r="31" spans="1:8">
      <c r="A31" s="10" t="s">
        <v>3104</v>
      </c>
      <c r="B31" s="11" t="s">
        <v>3059</v>
      </c>
      <c r="C31" s="11" t="s">
        <v>3113</v>
      </c>
      <c r="D31" s="11" t="s">
        <v>3114</v>
      </c>
      <c r="E31" s="11">
        <v>4</v>
      </c>
      <c r="F31" s="12">
        <v>0.0404970826782308</v>
      </c>
      <c r="G31" s="12">
        <v>2.64531848242255</v>
      </c>
      <c r="H31" s="12">
        <v>0.402894053311629</v>
      </c>
    </row>
    <row r="32" spans="1:8">
      <c r="A32" s="10" t="s">
        <v>3104</v>
      </c>
      <c r="B32" s="11" t="s">
        <v>3059</v>
      </c>
      <c r="C32" s="11" t="s">
        <v>3115</v>
      </c>
      <c r="D32" s="11" t="s">
        <v>3116</v>
      </c>
      <c r="E32" s="11">
        <v>3</v>
      </c>
      <c r="F32" s="12">
        <v>0.0404970826782308</v>
      </c>
      <c r="G32" s="12">
        <v>2.64531848242255</v>
      </c>
      <c r="H32" s="12">
        <v>0.402894053311629</v>
      </c>
    </row>
    <row r="33" spans="1:8">
      <c r="A33" s="10" t="s">
        <v>3104</v>
      </c>
      <c r="B33" s="11" t="s">
        <v>3059</v>
      </c>
      <c r="C33" s="11" t="s">
        <v>3060</v>
      </c>
      <c r="D33" s="11" t="s">
        <v>3061</v>
      </c>
      <c r="E33" s="11">
        <v>2</v>
      </c>
      <c r="F33" s="12">
        <v>0.0463035400705772</v>
      </c>
      <c r="G33" s="12">
        <v>1.61199095022624</v>
      </c>
      <c r="H33" s="12">
        <v>0.427756513032951</v>
      </c>
    </row>
    <row r="34" spans="1:8">
      <c r="A34" s="10" t="s">
        <v>3104</v>
      </c>
      <c r="B34" s="11" t="s">
        <v>3082</v>
      </c>
      <c r="C34" s="11" t="s">
        <v>3117</v>
      </c>
      <c r="D34" s="11" t="s">
        <v>3118</v>
      </c>
      <c r="E34" s="11">
        <v>4</v>
      </c>
      <c r="F34" s="12">
        <v>0.0412437125703152</v>
      </c>
      <c r="G34" s="12">
        <v>1.57518481182795</v>
      </c>
      <c r="H34" s="12">
        <v>0.74988568309664</v>
      </c>
    </row>
    <row r="35" spans="1:8">
      <c r="A35" s="10" t="s">
        <v>85</v>
      </c>
      <c r="B35" s="11" t="s">
        <v>3059</v>
      </c>
      <c r="C35" s="11" t="s">
        <v>3080</v>
      </c>
      <c r="D35" s="11" t="s">
        <v>3081</v>
      </c>
      <c r="E35" s="11">
        <v>3</v>
      </c>
      <c r="F35" s="12">
        <v>0.000302300435006674</v>
      </c>
      <c r="G35" s="12">
        <v>1.37107573277786</v>
      </c>
      <c r="H35" s="12">
        <v>0.133314491837943</v>
      </c>
    </row>
    <row r="36" spans="1:8">
      <c r="A36" s="10" t="s">
        <v>85</v>
      </c>
      <c r="B36" s="11" t="s">
        <v>3059</v>
      </c>
      <c r="C36" s="11" t="s">
        <v>3113</v>
      </c>
      <c r="D36" s="11" t="s">
        <v>3114</v>
      </c>
      <c r="E36" s="11">
        <v>4</v>
      </c>
      <c r="F36" s="12">
        <v>0.00130855722037104</v>
      </c>
      <c r="G36" s="12">
        <v>3.37278106508875</v>
      </c>
      <c r="H36" s="12">
        <v>0.288536867091814</v>
      </c>
    </row>
    <row r="37" spans="1:8">
      <c r="A37" s="10" t="s">
        <v>85</v>
      </c>
      <c r="B37" s="11" t="s">
        <v>3059</v>
      </c>
      <c r="C37" s="11" t="s">
        <v>3115</v>
      </c>
      <c r="D37" s="11" t="s">
        <v>3116</v>
      </c>
      <c r="E37" s="11">
        <v>3</v>
      </c>
      <c r="F37" s="12">
        <v>0.00130855722037104</v>
      </c>
      <c r="G37" s="12">
        <v>3.37278106508875</v>
      </c>
      <c r="H37" s="12">
        <v>0.288536867091814</v>
      </c>
    </row>
    <row r="38" spans="1:8">
      <c r="A38" s="10" t="s">
        <v>85</v>
      </c>
      <c r="B38" s="11" t="s">
        <v>3059</v>
      </c>
      <c r="C38" s="11" t="s">
        <v>3119</v>
      </c>
      <c r="D38" s="11" t="s">
        <v>3120</v>
      </c>
      <c r="E38" s="11">
        <v>4</v>
      </c>
      <c r="F38" s="12">
        <v>0.00232049340816209</v>
      </c>
      <c r="G38" s="12">
        <v>1.34649024444942</v>
      </c>
      <c r="H38" s="12">
        <v>0.25583439824987</v>
      </c>
    </row>
    <row r="39" spans="1:8">
      <c r="A39" s="10" t="s">
        <v>85</v>
      </c>
      <c r="B39" s="11" t="s">
        <v>3059</v>
      </c>
      <c r="C39" s="11" t="s">
        <v>3109</v>
      </c>
      <c r="D39" s="11" t="s">
        <v>3110</v>
      </c>
      <c r="E39" s="11">
        <v>2</v>
      </c>
      <c r="F39" s="12">
        <v>0.00404024907041067</v>
      </c>
      <c r="G39" s="12">
        <v>3.89743589743589</v>
      </c>
      <c r="H39" s="12">
        <v>0.254535691435872</v>
      </c>
    </row>
    <row r="40" spans="1:8">
      <c r="A40" s="10" t="s">
        <v>85</v>
      </c>
      <c r="B40" s="11" t="s">
        <v>3059</v>
      </c>
      <c r="C40" s="11" t="s">
        <v>3121</v>
      </c>
      <c r="D40" s="11" t="s">
        <v>3122</v>
      </c>
      <c r="E40" s="11">
        <v>3</v>
      </c>
      <c r="F40" s="12">
        <v>0.00558661950924432</v>
      </c>
      <c r="G40" s="12">
        <v>4.29864253393665</v>
      </c>
      <c r="H40" s="12">
        <v>0.273744355952972</v>
      </c>
    </row>
    <row r="41" spans="1:8">
      <c r="A41" s="10" t="s">
        <v>85</v>
      </c>
      <c r="B41" s="11" t="s">
        <v>3059</v>
      </c>
      <c r="C41" s="11" t="s">
        <v>3068</v>
      </c>
      <c r="D41" s="11" t="s">
        <v>3069</v>
      </c>
      <c r="E41" s="11">
        <v>5</v>
      </c>
      <c r="F41" s="12">
        <v>0.00598325715567527</v>
      </c>
      <c r="G41" s="12">
        <v>1.28621509449167</v>
      </c>
      <c r="H41" s="12">
        <v>0.263861640565279</v>
      </c>
    </row>
    <row r="42" spans="1:8">
      <c r="A42" s="10" t="s">
        <v>85</v>
      </c>
      <c r="B42" s="11" t="s">
        <v>3059</v>
      </c>
      <c r="C42" s="11" t="s">
        <v>3070</v>
      </c>
      <c r="D42" s="11" t="s">
        <v>3071</v>
      </c>
      <c r="E42" s="11">
        <v>4</v>
      </c>
      <c r="F42" s="12">
        <v>0.00598325715567527</v>
      </c>
      <c r="G42" s="12">
        <v>1.28621509449167</v>
      </c>
      <c r="H42" s="12">
        <v>0.263861640565279</v>
      </c>
    </row>
    <row r="43" spans="1:8">
      <c r="A43" s="10" t="s">
        <v>85</v>
      </c>
      <c r="B43" s="11" t="s">
        <v>3059</v>
      </c>
      <c r="C43" s="11" t="s">
        <v>3123</v>
      </c>
      <c r="D43" s="11" t="s">
        <v>3124</v>
      </c>
      <c r="E43" s="11">
        <v>5</v>
      </c>
      <c r="F43" s="12">
        <v>0.00841190424257543</v>
      </c>
      <c r="G43" s="12">
        <v>2.41576605212968</v>
      </c>
      <c r="H43" s="12">
        <v>0.247309984731717</v>
      </c>
    </row>
    <row r="44" spans="1:8">
      <c r="A44" s="10" t="s">
        <v>85</v>
      </c>
      <c r="B44" s="11" t="s">
        <v>3059</v>
      </c>
      <c r="C44" s="11" t="s">
        <v>3125</v>
      </c>
      <c r="D44" s="11" t="s">
        <v>3126</v>
      </c>
      <c r="E44" s="11">
        <v>5</v>
      </c>
      <c r="F44" s="12">
        <v>0.0100624438177064</v>
      </c>
      <c r="G44" s="12">
        <v>3.74753451676528</v>
      </c>
      <c r="H44" s="12">
        <v>0.277346107725535</v>
      </c>
    </row>
    <row r="45" spans="1:8">
      <c r="A45" s="10" t="s">
        <v>85</v>
      </c>
      <c r="B45" s="11" t="s">
        <v>3059</v>
      </c>
      <c r="C45" s="11" t="s">
        <v>3127</v>
      </c>
      <c r="D45" s="11" t="s">
        <v>3128</v>
      </c>
      <c r="E45" s="11">
        <v>4</v>
      </c>
      <c r="F45" s="12">
        <v>0.0129990654263941</v>
      </c>
      <c r="G45" s="12">
        <v>2.76507276507276</v>
      </c>
      <c r="H45" s="12">
        <v>0.272980373954277</v>
      </c>
    </row>
    <row r="46" spans="1:8">
      <c r="A46" s="10" t="s">
        <v>85</v>
      </c>
      <c r="B46" s="11" t="s">
        <v>3059</v>
      </c>
      <c r="C46" s="11" t="s">
        <v>3129</v>
      </c>
      <c r="D46" s="11" t="s">
        <v>3130</v>
      </c>
      <c r="E46" s="11">
        <v>6</v>
      </c>
      <c r="F46" s="12">
        <v>0.0162273538196993</v>
      </c>
      <c r="G46" s="12">
        <v>2.92307692307692</v>
      </c>
      <c r="H46" s="12">
        <v>0.32528468338579</v>
      </c>
    </row>
    <row r="47" spans="1:8">
      <c r="A47" s="10" t="s">
        <v>85</v>
      </c>
      <c r="B47" s="11" t="s">
        <v>3059</v>
      </c>
      <c r="C47" s="11" t="s">
        <v>3131</v>
      </c>
      <c r="D47" s="11" t="s">
        <v>3132</v>
      </c>
      <c r="E47" s="11">
        <v>4</v>
      </c>
      <c r="F47" s="12">
        <v>0.016266909920433</v>
      </c>
      <c r="G47" s="12">
        <v>1.35825452379179</v>
      </c>
      <c r="H47" s="12">
        <v>0.311900316300476</v>
      </c>
    </row>
    <row r="48" spans="1:8">
      <c r="A48" s="10" t="s">
        <v>85</v>
      </c>
      <c r="B48" s="11" t="s">
        <v>3059</v>
      </c>
      <c r="C48" s="11" t="s">
        <v>3133</v>
      </c>
      <c r="D48" s="11" t="s">
        <v>3134</v>
      </c>
      <c r="E48" s="11">
        <v>6</v>
      </c>
      <c r="F48" s="12">
        <v>0.0205469112777291</v>
      </c>
      <c r="G48" s="12">
        <v>2.52611585944919</v>
      </c>
      <c r="H48" s="12">
        <v>0.362447514939141</v>
      </c>
    </row>
    <row r="49" spans="1:8">
      <c r="A49" s="10" t="s">
        <v>85</v>
      </c>
      <c r="B49" s="11" t="s">
        <v>3059</v>
      </c>
      <c r="C49" s="11" t="s">
        <v>3135</v>
      </c>
      <c r="D49" s="11" t="s">
        <v>3136</v>
      </c>
      <c r="E49" s="11">
        <v>5</v>
      </c>
      <c r="F49" s="12">
        <v>0.0205469112777291</v>
      </c>
      <c r="G49" s="12">
        <v>2.52611585944919</v>
      </c>
      <c r="H49" s="12">
        <v>0.362447514939141</v>
      </c>
    </row>
    <row r="50" spans="1:8">
      <c r="A50" s="10" t="s">
        <v>85</v>
      </c>
      <c r="B50" s="11" t="s">
        <v>3059</v>
      </c>
      <c r="C50" s="11" t="s">
        <v>3137</v>
      </c>
      <c r="D50" s="11" t="s">
        <v>3138</v>
      </c>
      <c r="E50" s="11">
        <v>5</v>
      </c>
      <c r="F50" s="12">
        <v>0.0217127336551515</v>
      </c>
      <c r="G50" s="12">
        <v>2.74038461538461</v>
      </c>
      <c r="H50" s="12">
        <v>0.354641316367475</v>
      </c>
    </row>
    <row r="51" spans="1:8">
      <c r="A51" s="10" t="s">
        <v>85</v>
      </c>
      <c r="B51" s="11" t="s">
        <v>3059</v>
      </c>
      <c r="C51" s="11" t="s">
        <v>3139</v>
      </c>
      <c r="D51" s="11" t="s">
        <v>3140</v>
      </c>
      <c r="E51" s="11">
        <v>5</v>
      </c>
      <c r="F51" s="12">
        <v>0.023237067927344</v>
      </c>
      <c r="G51" s="12">
        <v>1.27090301003344</v>
      </c>
      <c r="H51" s="12">
        <v>0.341584898531957</v>
      </c>
    </row>
    <row r="52" spans="1:8">
      <c r="A52" s="10" t="s">
        <v>85</v>
      </c>
      <c r="B52" s="11" t="s">
        <v>3059</v>
      </c>
      <c r="C52" s="11" t="s">
        <v>3141</v>
      </c>
      <c r="D52" s="11" t="s">
        <v>3142</v>
      </c>
      <c r="E52" s="11">
        <v>9</v>
      </c>
      <c r="F52" s="12">
        <v>0.0232767350894962</v>
      </c>
      <c r="G52" s="12">
        <v>1.29862060395178</v>
      </c>
      <c r="H52" s="12">
        <v>0.33113032820864</v>
      </c>
    </row>
    <row r="53" spans="1:8">
      <c r="A53" s="10" t="s">
        <v>85</v>
      </c>
      <c r="B53" s="11" t="s">
        <v>3059</v>
      </c>
      <c r="C53" s="11" t="s">
        <v>3143</v>
      </c>
      <c r="D53" s="11" t="s">
        <v>3144</v>
      </c>
      <c r="E53" s="11">
        <v>7</v>
      </c>
      <c r="F53" s="12">
        <v>0.0248144373985462</v>
      </c>
      <c r="G53" s="12">
        <v>1.26653264204846</v>
      </c>
      <c r="H53" s="12">
        <v>0.341973965398715</v>
      </c>
    </row>
    <row r="54" spans="1:8">
      <c r="A54" s="10" t="s">
        <v>85</v>
      </c>
      <c r="B54" s="11" t="s">
        <v>3059</v>
      </c>
      <c r="C54" s="11" t="s">
        <v>3145</v>
      </c>
      <c r="D54" s="11" t="s">
        <v>3146</v>
      </c>
      <c r="E54" s="11">
        <v>8</v>
      </c>
      <c r="F54" s="12">
        <v>0.024973978243295</v>
      </c>
      <c r="G54" s="12">
        <v>1.2933968686181</v>
      </c>
      <c r="H54" s="12">
        <v>0.333743163796761</v>
      </c>
    </row>
    <row r="55" spans="1:8">
      <c r="A55" s="10" t="s">
        <v>85</v>
      </c>
      <c r="B55" s="11" t="s">
        <v>3059</v>
      </c>
      <c r="C55" s="11" t="s">
        <v>3147</v>
      </c>
      <c r="D55" s="11" t="s">
        <v>3148</v>
      </c>
      <c r="E55" s="11">
        <v>4</v>
      </c>
      <c r="F55" s="12">
        <v>0.0258644174501183</v>
      </c>
      <c r="G55" s="12">
        <v>2.24852071005917</v>
      </c>
      <c r="H55" s="12">
        <v>0.335476708691241</v>
      </c>
    </row>
    <row r="56" spans="1:8">
      <c r="A56" s="10" t="s">
        <v>85</v>
      </c>
      <c r="B56" s="11" t="s">
        <v>3059</v>
      </c>
      <c r="C56" s="11" t="s">
        <v>3149</v>
      </c>
      <c r="D56" s="11" t="s">
        <v>3150</v>
      </c>
      <c r="E56" s="11">
        <v>6</v>
      </c>
      <c r="F56" s="12">
        <v>0.0259208353145018</v>
      </c>
      <c r="G56" s="12">
        <v>1.26062616628654</v>
      </c>
      <c r="H56" s="12">
        <v>0.326602524962723</v>
      </c>
    </row>
    <row r="57" spans="1:8">
      <c r="A57" s="10" t="s">
        <v>85</v>
      </c>
      <c r="B57" s="11" t="s">
        <v>3059</v>
      </c>
      <c r="C57" s="11" t="s">
        <v>3072</v>
      </c>
      <c r="D57" s="11" t="s">
        <v>3073</v>
      </c>
      <c r="E57" s="11">
        <v>7</v>
      </c>
      <c r="F57" s="12">
        <v>0.026723227954207</v>
      </c>
      <c r="G57" s="12">
        <v>1.27760709524085</v>
      </c>
      <c r="H57" s="12">
        <v>0.327359542439035</v>
      </c>
    </row>
    <row r="58" spans="1:8">
      <c r="A58" s="10" t="s">
        <v>85</v>
      </c>
      <c r="B58" s="11" t="s">
        <v>3059</v>
      </c>
      <c r="C58" s="11" t="s">
        <v>3066</v>
      </c>
      <c r="D58" s="11" t="s">
        <v>3067</v>
      </c>
      <c r="E58" s="11">
        <v>6</v>
      </c>
      <c r="F58" s="12">
        <v>0.026783697551835</v>
      </c>
      <c r="G58" s="12">
        <v>1.25274725274725</v>
      </c>
      <c r="H58" s="12">
        <v>0.319232719469169</v>
      </c>
    </row>
    <row r="59" spans="1:8">
      <c r="A59" s="10" t="s">
        <v>85</v>
      </c>
      <c r="B59" s="11" t="s">
        <v>3059</v>
      </c>
      <c r="C59" s="11" t="s">
        <v>3151</v>
      </c>
      <c r="D59" s="11" t="s">
        <v>3152</v>
      </c>
      <c r="E59" s="11">
        <v>4</v>
      </c>
      <c r="F59" s="12">
        <v>0.0285810165933816</v>
      </c>
      <c r="G59" s="12">
        <v>2.20609579100145</v>
      </c>
      <c r="H59" s="12">
        <v>0.33169021888635</v>
      </c>
    </row>
    <row r="60" spans="1:8">
      <c r="A60" s="10" t="s">
        <v>85</v>
      </c>
      <c r="B60" s="11" t="s">
        <v>3059</v>
      </c>
      <c r="C60" s="11" t="s">
        <v>3153</v>
      </c>
      <c r="D60" s="11" t="s">
        <v>3154</v>
      </c>
      <c r="E60" s="11">
        <v>3</v>
      </c>
      <c r="F60" s="12">
        <v>0.0333015894463901</v>
      </c>
      <c r="G60" s="12">
        <v>1.24386252045826</v>
      </c>
      <c r="H60" s="12">
        <v>0.376564126816873</v>
      </c>
    </row>
    <row r="61" spans="1:8">
      <c r="A61" s="10" t="s">
        <v>85</v>
      </c>
      <c r="B61" s="11" t="s">
        <v>3059</v>
      </c>
      <c r="C61" s="11" t="s">
        <v>3060</v>
      </c>
      <c r="D61" s="11" t="s">
        <v>3061</v>
      </c>
      <c r="E61" s="11">
        <v>2</v>
      </c>
      <c r="F61" s="12">
        <v>0.0401126307849442</v>
      </c>
      <c r="G61" s="12">
        <v>1.52243589743589</v>
      </c>
      <c r="H61" s="12">
        <v>0.264024928002393</v>
      </c>
    </row>
    <row r="62" spans="1:8">
      <c r="A62" s="10" t="s">
        <v>85</v>
      </c>
      <c r="B62" s="11" t="s">
        <v>3059</v>
      </c>
      <c r="C62" s="11" t="s">
        <v>3155</v>
      </c>
      <c r="D62" s="11" t="s">
        <v>3156</v>
      </c>
      <c r="E62" s="11">
        <v>4</v>
      </c>
      <c r="F62" s="12">
        <v>0.0446634667694302</v>
      </c>
      <c r="G62" s="12">
        <v>2.56410256410256</v>
      </c>
      <c r="H62" s="12">
        <v>0.277416744300263</v>
      </c>
    </row>
    <row r="63" spans="1:8">
      <c r="A63" s="10" t="s">
        <v>85</v>
      </c>
      <c r="B63" s="11" t="s">
        <v>3059</v>
      </c>
      <c r="C63" s="11" t="s">
        <v>3157</v>
      </c>
      <c r="D63" s="11" t="s">
        <v>3158</v>
      </c>
      <c r="E63" s="11">
        <v>4</v>
      </c>
      <c r="F63" s="12">
        <v>0.0481333594289874</v>
      </c>
      <c r="G63" s="12">
        <v>2.10943695479777</v>
      </c>
      <c r="H63" s="12">
        <v>0.290778239838129</v>
      </c>
    </row>
    <row r="64" spans="1:8">
      <c r="A64" s="10" t="s">
        <v>85</v>
      </c>
      <c r="B64" s="11" t="s">
        <v>3082</v>
      </c>
      <c r="C64" s="11" t="s">
        <v>3159</v>
      </c>
      <c r="D64" s="11" t="s">
        <v>3160</v>
      </c>
      <c r="E64" s="11">
        <v>6</v>
      </c>
      <c r="F64" s="12">
        <v>0.0111821449811402</v>
      </c>
      <c r="G64" s="12">
        <v>2.44895154185022</v>
      </c>
      <c r="H64" s="12">
        <v>0.415975793298416</v>
      </c>
    </row>
    <row r="65" spans="1:8">
      <c r="A65" s="10" t="s">
        <v>85</v>
      </c>
      <c r="B65" s="11" t="s">
        <v>3082</v>
      </c>
      <c r="C65" s="11" t="s">
        <v>3161</v>
      </c>
      <c r="D65" s="11" t="s">
        <v>3162</v>
      </c>
      <c r="E65" s="11">
        <v>7</v>
      </c>
      <c r="F65" s="12">
        <v>0.0173369511870732</v>
      </c>
      <c r="G65" s="12">
        <v>2.61640121992544</v>
      </c>
      <c r="H65" s="12">
        <v>0.53744548679927</v>
      </c>
    </row>
    <row r="66" spans="1:8">
      <c r="A66" s="10" t="s">
        <v>85</v>
      </c>
      <c r="B66" s="11" t="s">
        <v>3082</v>
      </c>
      <c r="C66" s="11" t="s">
        <v>3163</v>
      </c>
      <c r="D66" s="11" t="s">
        <v>3164</v>
      </c>
      <c r="E66" s="11">
        <v>7</v>
      </c>
      <c r="F66" s="12">
        <v>0.0371887051450552</v>
      </c>
      <c r="G66" s="12">
        <v>2.69946157611355</v>
      </c>
      <c r="H66" s="12">
        <v>0.461139943798684</v>
      </c>
    </row>
    <row r="67" spans="1:8">
      <c r="A67" s="10" t="s">
        <v>85</v>
      </c>
      <c r="B67" s="11" t="s">
        <v>3082</v>
      </c>
      <c r="C67" s="11" t="s">
        <v>3165</v>
      </c>
      <c r="D67" s="11" t="s">
        <v>3166</v>
      </c>
      <c r="E67" s="11">
        <v>6</v>
      </c>
      <c r="F67" s="12">
        <v>0.039412863697681</v>
      </c>
      <c r="G67" s="12">
        <v>2.65728248898678</v>
      </c>
      <c r="H67" s="12">
        <v>0.458174540485542</v>
      </c>
    </row>
    <row r="68" spans="1:8">
      <c r="A68" s="10" t="s">
        <v>85</v>
      </c>
      <c r="B68" s="11" t="s">
        <v>3082</v>
      </c>
      <c r="C68" s="11" t="s">
        <v>3167</v>
      </c>
      <c r="D68" s="11" t="s">
        <v>3168</v>
      </c>
      <c r="E68" s="11">
        <v>4</v>
      </c>
      <c r="F68" s="12">
        <v>0.0417165152707104</v>
      </c>
      <c r="G68" s="12">
        <v>2.61640121992544</v>
      </c>
      <c r="H68" s="12">
        <v>0.456427755314831</v>
      </c>
    </row>
    <row r="69" spans="1:8">
      <c r="A69" s="10" t="s">
        <v>85</v>
      </c>
      <c r="B69" s="11" t="s">
        <v>3082</v>
      </c>
      <c r="C69" s="11" t="s">
        <v>3169</v>
      </c>
      <c r="D69" s="11" t="s">
        <v>3170</v>
      </c>
      <c r="E69" s="11">
        <v>5</v>
      </c>
      <c r="F69" s="12">
        <v>0.0417165152707104</v>
      </c>
      <c r="G69" s="12">
        <v>2.61640121992544</v>
      </c>
      <c r="H69" s="12">
        <v>0.456427755314831</v>
      </c>
    </row>
    <row r="70" spans="1:8">
      <c r="A70" s="10" t="s">
        <v>85</v>
      </c>
      <c r="B70" s="11" t="s">
        <v>3093</v>
      </c>
      <c r="C70" s="11" t="s">
        <v>3171</v>
      </c>
      <c r="D70" s="11" t="s">
        <v>3172</v>
      </c>
      <c r="E70" s="11">
        <v>6</v>
      </c>
      <c r="F70" s="12">
        <v>0.00108106151068332</v>
      </c>
      <c r="G70" s="12">
        <v>3.81269841269841</v>
      </c>
      <c r="H70" s="12">
        <v>1</v>
      </c>
    </row>
    <row r="71" spans="1:8">
      <c r="A71" s="10" t="s">
        <v>85</v>
      </c>
      <c r="B71" s="11" t="s">
        <v>3093</v>
      </c>
      <c r="C71" s="11" t="s">
        <v>3173</v>
      </c>
      <c r="D71" s="11" t="s">
        <v>3174</v>
      </c>
      <c r="E71" s="11">
        <v>4</v>
      </c>
      <c r="F71" s="12">
        <v>0.00133036420481569</v>
      </c>
      <c r="G71" s="12">
        <v>3.69538461538461</v>
      </c>
      <c r="H71" s="12">
        <v>0.27724790028359</v>
      </c>
    </row>
    <row r="72" spans="1:8">
      <c r="A72" s="10" t="s">
        <v>85</v>
      </c>
      <c r="B72" s="11" t="s">
        <v>3093</v>
      </c>
      <c r="C72" s="11" t="s">
        <v>3175</v>
      </c>
      <c r="D72" s="11" t="s">
        <v>3176</v>
      </c>
      <c r="E72" s="11">
        <v>7</v>
      </c>
      <c r="F72" s="12">
        <v>0.00284305710901655</v>
      </c>
      <c r="G72" s="12">
        <v>5.00416666666666</v>
      </c>
      <c r="H72" s="12">
        <v>0.423209358227893</v>
      </c>
    </row>
    <row r="73" spans="1:8">
      <c r="A73" s="10" t="s">
        <v>85</v>
      </c>
      <c r="B73" s="11" t="s">
        <v>3093</v>
      </c>
      <c r="C73" s="11" t="s">
        <v>3177</v>
      </c>
      <c r="D73" s="11" t="s">
        <v>3178</v>
      </c>
      <c r="E73" s="11">
        <v>5</v>
      </c>
      <c r="F73" s="12">
        <v>0.00295986246602442</v>
      </c>
      <c r="G73" s="12">
        <v>1.89269340974212</v>
      </c>
      <c r="H73" s="12">
        <v>0.38552208619968</v>
      </c>
    </row>
    <row r="74" spans="1:8">
      <c r="A74" s="10" t="s">
        <v>85</v>
      </c>
      <c r="B74" s="11" t="s">
        <v>3093</v>
      </c>
      <c r="C74" s="11" t="s">
        <v>3179</v>
      </c>
      <c r="D74" s="11" t="s">
        <v>3180</v>
      </c>
      <c r="E74" s="11">
        <v>4</v>
      </c>
      <c r="F74" s="12">
        <v>0.00498130801680973</v>
      </c>
      <c r="G74" s="12">
        <v>4.41544117647058</v>
      </c>
      <c r="H74" s="12">
        <v>0.324407684594734</v>
      </c>
    </row>
    <row r="75" spans="1:8">
      <c r="A75" s="10" t="s">
        <v>85</v>
      </c>
      <c r="B75" s="11" t="s">
        <v>3093</v>
      </c>
      <c r="C75" s="11" t="s">
        <v>3181</v>
      </c>
      <c r="D75" s="11" t="s">
        <v>3182</v>
      </c>
      <c r="E75" s="11">
        <v>4</v>
      </c>
      <c r="F75" s="12">
        <v>0.00661618706326105</v>
      </c>
      <c r="G75" s="12">
        <v>3.53235294117647</v>
      </c>
      <c r="H75" s="12">
        <v>0.344703345995901</v>
      </c>
    </row>
    <row r="76" spans="1:8">
      <c r="A76" s="10" t="s">
        <v>85</v>
      </c>
      <c r="B76" s="11" t="s">
        <v>3093</v>
      </c>
      <c r="C76" s="11" t="s">
        <v>3183</v>
      </c>
      <c r="D76" s="11" t="s">
        <v>3184</v>
      </c>
      <c r="E76" s="11">
        <v>5</v>
      </c>
      <c r="F76" s="12">
        <v>0.00900643898337705</v>
      </c>
      <c r="G76" s="12">
        <v>3.84935897435897</v>
      </c>
      <c r="H76" s="12">
        <v>0.446890924794232</v>
      </c>
    </row>
    <row r="77" spans="1:8">
      <c r="A77" s="10" t="s">
        <v>85</v>
      </c>
      <c r="B77" s="11" t="s">
        <v>3093</v>
      </c>
      <c r="C77" s="11" t="s">
        <v>3185</v>
      </c>
      <c r="D77" s="11" t="s">
        <v>3186</v>
      </c>
      <c r="E77" s="11">
        <v>4</v>
      </c>
      <c r="F77" s="12">
        <v>0.0100198142592973</v>
      </c>
      <c r="G77" s="12">
        <v>3.753125</v>
      </c>
      <c r="H77" s="12">
        <v>0.474574839008536</v>
      </c>
    </row>
    <row r="78" spans="1:8">
      <c r="A78" s="10" t="s">
        <v>85</v>
      </c>
      <c r="B78" s="11" t="s">
        <v>3093</v>
      </c>
      <c r="C78" s="11" t="s">
        <v>3187</v>
      </c>
      <c r="D78" s="11" t="s">
        <v>3188</v>
      </c>
      <c r="E78" s="11">
        <v>3</v>
      </c>
      <c r="F78" s="12">
        <v>0.0102554681359192</v>
      </c>
      <c r="G78" s="12">
        <v>2.14464285714285</v>
      </c>
      <c r="H78" s="12">
        <v>0.464617295549038</v>
      </c>
    </row>
    <row r="79" spans="1:8">
      <c r="A79" s="10" t="s">
        <v>85</v>
      </c>
      <c r="B79" s="11" t="s">
        <v>3093</v>
      </c>
      <c r="C79" s="11" t="s">
        <v>3189</v>
      </c>
      <c r="D79" s="11" t="s">
        <v>3190</v>
      </c>
      <c r="E79" s="11">
        <v>6</v>
      </c>
      <c r="F79" s="12">
        <v>0.0103922095421711</v>
      </c>
      <c r="G79" s="12">
        <v>3.21696428571428</v>
      </c>
      <c r="H79" s="12">
        <v>0.433147293717692</v>
      </c>
    </row>
    <row r="80" spans="1:8">
      <c r="A80" s="10" t="s">
        <v>85</v>
      </c>
      <c r="B80" s="11" t="s">
        <v>3093</v>
      </c>
      <c r="C80" s="11" t="s">
        <v>3191</v>
      </c>
      <c r="D80" s="11" t="s">
        <v>3192</v>
      </c>
      <c r="E80" s="11">
        <v>3</v>
      </c>
      <c r="F80" s="12">
        <v>0.0105217074588143</v>
      </c>
      <c r="G80" s="12">
        <v>1.4297619047619</v>
      </c>
      <c r="H80" s="12">
        <v>0.421677660464788</v>
      </c>
    </row>
    <row r="81" spans="1:8">
      <c r="A81" s="10" t="s">
        <v>85</v>
      </c>
      <c r="B81" s="11" t="s">
        <v>3093</v>
      </c>
      <c r="C81" s="11" t="s">
        <v>3193</v>
      </c>
      <c r="D81" s="11" t="s">
        <v>3194</v>
      </c>
      <c r="E81" s="11">
        <v>6</v>
      </c>
      <c r="F81" s="12">
        <v>0.011308184698661</v>
      </c>
      <c r="G81" s="12">
        <v>2.8402027027027</v>
      </c>
      <c r="H81" s="12">
        <v>0.436412165037214</v>
      </c>
    </row>
    <row r="82" spans="1:8">
      <c r="A82" s="10" t="s">
        <v>85</v>
      </c>
      <c r="B82" s="11" t="s">
        <v>3093</v>
      </c>
      <c r="C82" s="11" t="s">
        <v>3195</v>
      </c>
      <c r="D82" s="11" t="s">
        <v>3196</v>
      </c>
      <c r="E82" s="11">
        <v>5</v>
      </c>
      <c r="F82" s="12">
        <v>0.0129907165201693</v>
      </c>
      <c r="G82" s="12">
        <v>2.76546052631578</v>
      </c>
      <c r="H82" s="12">
        <v>0.483440236214874</v>
      </c>
    </row>
    <row r="83" spans="1:8">
      <c r="A83" s="10" t="s">
        <v>85</v>
      </c>
      <c r="B83" s="11" t="s">
        <v>3093</v>
      </c>
      <c r="C83" s="11" t="s">
        <v>3197</v>
      </c>
      <c r="D83" s="11" t="s">
        <v>3198</v>
      </c>
      <c r="E83" s="11">
        <v>8</v>
      </c>
      <c r="F83" s="12">
        <v>0.0181216410017827</v>
      </c>
      <c r="G83" s="12">
        <v>2.402</v>
      </c>
      <c r="H83" s="12">
        <v>0.539507140681645</v>
      </c>
    </row>
    <row r="84" spans="1:8">
      <c r="A84" s="10" t="s">
        <v>85</v>
      </c>
      <c r="B84" s="11" t="s">
        <v>3093</v>
      </c>
      <c r="C84" s="11" t="s">
        <v>3199</v>
      </c>
      <c r="D84" s="11" t="s">
        <v>3200</v>
      </c>
      <c r="E84" s="11">
        <v>5</v>
      </c>
      <c r="F84" s="12">
        <v>0.0181216410017827</v>
      </c>
      <c r="G84" s="12">
        <v>2.402</v>
      </c>
      <c r="H84" s="12">
        <v>0.539507140681645</v>
      </c>
    </row>
    <row r="85" spans="1:8">
      <c r="A85" s="10" t="s">
        <v>85</v>
      </c>
      <c r="B85" s="11" t="s">
        <v>3093</v>
      </c>
      <c r="C85" s="11" t="s">
        <v>3201</v>
      </c>
      <c r="D85" s="11" t="s">
        <v>3202</v>
      </c>
      <c r="E85" s="11">
        <v>3</v>
      </c>
      <c r="F85" s="12">
        <v>0.0193616431058</v>
      </c>
      <c r="G85" s="12">
        <v>3.19414893617021</v>
      </c>
      <c r="H85" s="12">
        <v>0.545265732871449</v>
      </c>
    </row>
    <row r="86" spans="1:8">
      <c r="A86" s="10" t="s">
        <v>85</v>
      </c>
      <c r="B86" s="11" t="s">
        <v>3093</v>
      </c>
      <c r="C86" s="11" t="s">
        <v>3203</v>
      </c>
      <c r="D86" s="11" t="s">
        <v>3204</v>
      </c>
      <c r="E86" s="11">
        <v>4</v>
      </c>
      <c r="F86" s="12">
        <v>0.0196203354130619</v>
      </c>
      <c r="G86" s="12">
        <v>1.41850393700787</v>
      </c>
      <c r="H86" s="12">
        <v>0.538010250010804</v>
      </c>
    </row>
    <row r="87" spans="1:8">
      <c r="A87" s="10" t="s">
        <v>85</v>
      </c>
      <c r="B87" s="11" t="s">
        <v>3093</v>
      </c>
      <c r="C87" s="11" t="s">
        <v>3205</v>
      </c>
      <c r="D87" s="11" t="s">
        <v>3206</v>
      </c>
      <c r="E87" s="11">
        <v>5</v>
      </c>
      <c r="F87" s="12">
        <v>0.0212761701763078</v>
      </c>
      <c r="G87" s="12">
        <v>2.33203883495145</v>
      </c>
      <c r="H87" s="12">
        <v>0.540726081066166</v>
      </c>
    </row>
    <row r="88" spans="1:8">
      <c r="A88" s="10" t="s">
        <v>85</v>
      </c>
      <c r="B88" s="11" t="s">
        <v>3093</v>
      </c>
      <c r="C88" s="11" t="s">
        <v>3207</v>
      </c>
      <c r="D88" s="11" t="s">
        <v>3208</v>
      </c>
      <c r="E88" s="11">
        <v>5</v>
      </c>
      <c r="F88" s="12">
        <v>0.0227955477717578</v>
      </c>
      <c r="G88" s="12">
        <v>2.07068965517241</v>
      </c>
      <c r="H88" s="12">
        <v>0.565546685194563</v>
      </c>
    </row>
    <row r="89" spans="1:8">
      <c r="A89" s="10" t="s">
        <v>85</v>
      </c>
      <c r="B89" s="11" t="s">
        <v>3093</v>
      </c>
      <c r="C89" s="11" t="s">
        <v>3209</v>
      </c>
      <c r="D89" s="11" t="s">
        <v>3210</v>
      </c>
      <c r="E89" s="11">
        <v>4</v>
      </c>
      <c r="F89" s="12">
        <v>0.0255630902881323</v>
      </c>
      <c r="G89" s="12">
        <v>2.41580459770114</v>
      </c>
      <c r="H89" s="12">
        <v>0.579059566961605</v>
      </c>
    </row>
    <row r="90" spans="1:8">
      <c r="A90" s="10" t="s">
        <v>85</v>
      </c>
      <c r="B90" s="11" t="s">
        <v>3093</v>
      </c>
      <c r="C90" s="11" t="s">
        <v>3211</v>
      </c>
      <c r="D90" s="11" t="s">
        <v>3212</v>
      </c>
      <c r="E90" s="11">
        <v>6</v>
      </c>
      <c r="F90" s="12">
        <v>0.0319122359105745</v>
      </c>
      <c r="G90" s="12">
        <v>2.04715909090909</v>
      </c>
      <c r="H90" s="12">
        <v>0.615787959607753</v>
      </c>
    </row>
    <row r="91" spans="1:8">
      <c r="A91" s="10" t="s">
        <v>85</v>
      </c>
      <c r="B91" s="11" t="s">
        <v>3093</v>
      </c>
      <c r="C91" s="11" t="s">
        <v>3213</v>
      </c>
      <c r="D91" s="11" t="s">
        <v>3214</v>
      </c>
      <c r="E91" s="11">
        <v>4</v>
      </c>
      <c r="F91" s="12">
        <v>0.0319122359105745</v>
      </c>
      <c r="G91" s="12">
        <v>2.04715909090909</v>
      </c>
      <c r="H91" s="12">
        <v>0.615787959607753</v>
      </c>
    </row>
    <row r="92" spans="1:8">
      <c r="A92" s="10" t="s">
        <v>85</v>
      </c>
      <c r="B92" s="11" t="s">
        <v>3093</v>
      </c>
      <c r="C92" s="11" t="s">
        <v>3215</v>
      </c>
      <c r="D92" s="11" t="s">
        <v>3216</v>
      </c>
      <c r="E92" s="11">
        <v>3</v>
      </c>
      <c r="F92" s="12">
        <v>0.0387417468379033</v>
      </c>
      <c r="G92" s="12">
        <v>2.21236842105263</v>
      </c>
      <c r="H92" s="12">
        <v>0.411927553113217</v>
      </c>
    </row>
    <row r="93" spans="1:8">
      <c r="A93" s="10" t="s">
        <v>85</v>
      </c>
      <c r="B93" s="11" t="s">
        <v>3093</v>
      </c>
      <c r="C93" s="11" t="s">
        <v>3217</v>
      </c>
      <c r="D93" s="11" t="s">
        <v>3218</v>
      </c>
      <c r="E93" s="11">
        <v>4</v>
      </c>
      <c r="F93" s="12">
        <v>0.0391128291832806</v>
      </c>
      <c r="G93" s="12">
        <v>1.97244525547445</v>
      </c>
      <c r="H93" s="12">
        <v>0.411672404131095</v>
      </c>
    </row>
    <row r="94" spans="1:8">
      <c r="A94" s="10" t="s">
        <v>85</v>
      </c>
      <c r="B94" s="11" t="s">
        <v>3093</v>
      </c>
      <c r="C94" s="11" t="s">
        <v>3219</v>
      </c>
      <c r="D94" s="11" t="s">
        <v>3220</v>
      </c>
      <c r="E94" s="11">
        <v>7</v>
      </c>
      <c r="F94" s="12">
        <v>0.0467667246271797</v>
      </c>
      <c r="G94" s="12">
        <v>1.6419921875</v>
      </c>
      <c r="H94" s="12">
        <v>0.482484426351696</v>
      </c>
    </row>
    <row r="95" spans="1:8">
      <c r="A95" s="10" t="s">
        <v>85</v>
      </c>
      <c r="B95" s="11" t="s">
        <v>3093</v>
      </c>
      <c r="C95" s="11" t="s">
        <v>3221</v>
      </c>
      <c r="D95" s="11" t="s">
        <v>3222</v>
      </c>
      <c r="E95" s="11">
        <v>5</v>
      </c>
      <c r="F95" s="12">
        <v>0.0491228104665644</v>
      </c>
      <c r="G95" s="12">
        <v>1.88968531468531</v>
      </c>
      <c r="H95" s="12">
        <v>0.501823220648628</v>
      </c>
    </row>
    <row r="96" spans="1:8">
      <c r="A96" s="10" t="s">
        <v>149</v>
      </c>
      <c r="B96" s="11" t="s">
        <v>3059</v>
      </c>
      <c r="C96" s="11" t="s">
        <v>3131</v>
      </c>
      <c r="D96" s="11" t="s">
        <v>3132</v>
      </c>
      <c r="E96" s="11">
        <v>4</v>
      </c>
      <c r="F96" s="12">
        <v>0.0423682388582729</v>
      </c>
      <c r="G96" s="12">
        <v>1.89185451528142</v>
      </c>
      <c r="H96" s="12">
        <v>0.267690236422724</v>
      </c>
    </row>
    <row r="97" spans="1:8">
      <c r="A97" s="13" t="s">
        <v>149</v>
      </c>
      <c r="B97" s="14" t="s">
        <v>3093</v>
      </c>
      <c r="C97" s="14" t="s">
        <v>3223</v>
      </c>
      <c r="D97" s="14" t="s">
        <v>3224</v>
      </c>
      <c r="E97" s="14">
        <v>4</v>
      </c>
      <c r="F97" s="15">
        <v>0.0290239432850087</v>
      </c>
      <c r="G97" s="15">
        <v>2.85447507809316</v>
      </c>
      <c r="H97" s="15">
        <v>0.152691179890698</v>
      </c>
    </row>
    <row r="98" spans="1:8">
      <c r="A98" s="16" t="s">
        <v>3225</v>
      </c>
      <c r="B98" s="16"/>
      <c r="C98" s="20"/>
      <c r="D98" s="16"/>
      <c r="E98" s="16"/>
      <c r="F98" s="16"/>
      <c r="G98" s="16"/>
      <c r="H98" s="16"/>
    </row>
  </sheetData>
  <mergeCells count="2">
    <mergeCell ref="A1:H1"/>
    <mergeCell ref="A98:H9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I24" sqref="I24"/>
    </sheetView>
  </sheetViews>
  <sheetFormatPr defaultColWidth="9.25" defaultRowHeight="17.6" outlineLevelCol="7"/>
  <cols>
    <col min="1" max="1" width="21.5" style="2" customWidth="1"/>
    <col min="2" max="2" width="60.875" style="2" customWidth="1"/>
    <col min="3" max="3" width="49.625" style="2" customWidth="1"/>
    <col min="4" max="4" width="12.5" style="3" customWidth="1"/>
    <col min="5" max="5" width="16.125" style="3" customWidth="1"/>
    <col min="6" max="6" width="30.625" style="3" customWidth="1"/>
    <col min="7" max="9" width="9.25" style="4"/>
    <col min="10" max="10" width="12.875" style="4"/>
    <col min="11" max="16384" width="9.25" style="4"/>
  </cols>
  <sheetData>
    <row r="1" ht="18" spans="1:6">
      <c r="A1" s="5" t="s">
        <v>3226</v>
      </c>
      <c r="B1" s="5"/>
      <c r="C1" s="5"/>
      <c r="D1" s="6"/>
      <c r="E1" s="6"/>
      <c r="F1" s="6"/>
    </row>
    <row r="2" spans="1:6">
      <c r="A2" s="7" t="s">
        <v>1</v>
      </c>
      <c r="B2" s="8" t="s">
        <v>3227</v>
      </c>
      <c r="C2" s="8" t="s">
        <v>3228</v>
      </c>
      <c r="D2" s="9" t="s">
        <v>258</v>
      </c>
      <c r="E2" s="9" t="s">
        <v>3229</v>
      </c>
      <c r="F2" s="9" t="s">
        <v>3058</v>
      </c>
    </row>
    <row r="3" spans="1:6">
      <c r="A3" s="10" t="s">
        <v>9</v>
      </c>
      <c r="B3" s="11" t="s">
        <v>3230</v>
      </c>
      <c r="C3" s="11" t="s">
        <v>3231</v>
      </c>
      <c r="D3" s="12">
        <v>0.00429423024610464</v>
      </c>
      <c r="E3" s="12">
        <v>4.64755043227665</v>
      </c>
      <c r="F3" s="12">
        <v>0.687076839376743</v>
      </c>
    </row>
    <row r="4" spans="1:6">
      <c r="A4" s="10" t="s">
        <v>9</v>
      </c>
      <c r="B4" s="11" t="s">
        <v>3232</v>
      </c>
      <c r="C4" s="11" t="s">
        <v>3231</v>
      </c>
      <c r="D4" s="12">
        <v>0.00751526939525393</v>
      </c>
      <c r="E4" s="12">
        <v>3.48566282420749</v>
      </c>
      <c r="F4" s="12">
        <v>0.601221551620314</v>
      </c>
    </row>
    <row r="5" spans="1:6">
      <c r="A5" s="10" t="s">
        <v>9</v>
      </c>
      <c r="B5" s="11" t="s">
        <v>3233</v>
      </c>
      <c r="C5" s="11" t="s">
        <v>3234</v>
      </c>
      <c r="D5" s="12">
        <v>0.0163968736431785</v>
      </c>
      <c r="E5" s="12">
        <v>1.45495764874492</v>
      </c>
      <c r="F5" s="12">
        <v>0.655874945727141</v>
      </c>
    </row>
    <row r="6" spans="1:6">
      <c r="A6" s="10" t="s">
        <v>9</v>
      </c>
      <c r="B6" s="11" t="s">
        <v>3235</v>
      </c>
      <c r="C6" s="11" t="s">
        <v>3234</v>
      </c>
      <c r="D6" s="12">
        <v>0.0203320999760165</v>
      </c>
      <c r="E6" s="12">
        <v>2.03677508984235</v>
      </c>
      <c r="F6" s="12">
        <v>0.542189332693775</v>
      </c>
    </row>
    <row r="7" spans="1:6">
      <c r="A7" s="10" t="s">
        <v>9</v>
      </c>
      <c r="B7" s="11" t="s">
        <v>3236</v>
      </c>
      <c r="C7" s="11" t="s">
        <v>3231</v>
      </c>
      <c r="D7" s="12">
        <v>0.0228444364519629</v>
      </c>
      <c r="E7" s="12">
        <v>2.08410333285948</v>
      </c>
      <c r="F7" s="12">
        <v>0.522158547473439</v>
      </c>
    </row>
    <row r="8" spans="1:6">
      <c r="A8" s="10" t="s">
        <v>9</v>
      </c>
      <c r="B8" s="11" t="s">
        <v>3237</v>
      </c>
      <c r="C8" s="11" t="s">
        <v>3234</v>
      </c>
      <c r="D8" s="12">
        <v>0.0251067206412647</v>
      </c>
      <c r="E8" s="12">
        <v>3.01788989108873</v>
      </c>
      <c r="F8" s="12">
        <v>0.502134412825294</v>
      </c>
    </row>
    <row r="9" spans="1:6">
      <c r="A9" s="10" t="s">
        <v>9</v>
      </c>
      <c r="B9" s="11" t="s">
        <v>3238</v>
      </c>
      <c r="C9" s="11" t="s">
        <v>3234</v>
      </c>
      <c r="D9" s="12">
        <v>0.0298496972358477</v>
      </c>
      <c r="E9" s="12">
        <v>1.75853259599657</v>
      </c>
      <c r="F9" s="12">
        <v>0.530661284192848</v>
      </c>
    </row>
    <row r="10" spans="1:6">
      <c r="A10" s="10" t="s">
        <v>9</v>
      </c>
      <c r="B10" s="11" t="s">
        <v>3239</v>
      </c>
      <c r="C10" s="11" t="s">
        <v>3234</v>
      </c>
      <c r="D10" s="12">
        <v>0.0348150096159852</v>
      </c>
      <c r="E10" s="12">
        <v>1.72131497491728</v>
      </c>
      <c r="F10" s="12">
        <v>0.557040153855764</v>
      </c>
    </row>
    <row r="11" spans="1:6">
      <c r="A11" s="10" t="s">
        <v>52</v>
      </c>
      <c r="B11" s="11" t="s">
        <v>3240</v>
      </c>
      <c r="C11" s="11" t="s">
        <v>3241</v>
      </c>
      <c r="D11" s="12">
        <v>0.0105990593517234</v>
      </c>
      <c r="E11" s="12">
        <v>3.74732781857049</v>
      </c>
      <c r="F11" s="12">
        <v>1.69584949627575</v>
      </c>
    </row>
    <row r="12" spans="1:6">
      <c r="A12" s="10" t="s">
        <v>52</v>
      </c>
      <c r="B12" s="11" t="s">
        <v>3239</v>
      </c>
      <c r="C12" s="11" t="s">
        <v>3234</v>
      </c>
      <c r="D12" s="12">
        <v>0.0144695512838646</v>
      </c>
      <c r="E12" s="12">
        <v>1.83995778604943</v>
      </c>
      <c r="F12" s="12">
        <v>1.15756410270916</v>
      </c>
    </row>
    <row r="13" spans="1:6">
      <c r="A13" s="10" t="s">
        <v>52</v>
      </c>
      <c r="B13" s="11" t="s">
        <v>3242</v>
      </c>
      <c r="C13" s="11" t="s">
        <v>3241</v>
      </c>
      <c r="D13" s="12">
        <v>0.0148220073534073</v>
      </c>
      <c r="E13" s="12">
        <v>3.44992084884268</v>
      </c>
      <c r="F13" s="12">
        <v>0.79050705884839</v>
      </c>
    </row>
    <row r="14" spans="1:7">
      <c r="A14" s="10" t="s">
        <v>52</v>
      </c>
      <c r="B14" s="12" t="s">
        <v>3243</v>
      </c>
      <c r="C14" s="12" t="s">
        <v>3241</v>
      </c>
      <c r="D14" s="12">
        <v>0.0208986589708197</v>
      </c>
      <c r="E14" s="12">
        <v>2.34967582137393</v>
      </c>
      <c r="F14" s="12">
        <v>0.857380880854144</v>
      </c>
      <c r="G14" s="17"/>
    </row>
    <row r="15" spans="1:6">
      <c r="A15" s="10" t="s">
        <v>52</v>
      </c>
      <c r="B15" s="11" t="s">
        <v>3244</v>
      </c>
      <c r="C15" s="11" t="s">
        <v>3231</v>
      </c>
      <c r="D15" s="12">
        <v>0.0337918608669697</v>
      </c>
      <c r="E15" s="12">
        <v>2.78647453175755</v>
      </c>
      <c r="F15" s="12">
        <v>1.35167443467878</v>
      </c>
    </row>
    <row r="16" spans="1:8">
      <c r="A16" s="10" t="s">
        <v>52</v>
      </c>
      <c r="B16" s="11" t="s">
        <v>3245</v>
      </c>
      <c r="C16" s="11" t="s">
        <v>3234</v>
      </c>
      <c r="D16" s="12">
        <v>0.0368905196545863</v>
      </c>
      <c r="E16" s="12">
        <v>1.85332957228525</v>
      </c>
      <c r="F16" s="12">
        <v>1.18049662894676</v>
      </c>
      <c r="H16" s="10"/>
    </row>
    <row r="17" spans="1:6">
      <c r="A17" s="10" t="s">
        <v>52</v>
      </c>
      <c r="B17" s="11" t="s">
        <v>3246</v>
      </c>
      <c r="C17" s="11" t="s">
        <v>3241</v>
      </c>
      <c r="D17" s="12">
        <v>0.0415505255772851</v>
      </c>
      <c r="E17" s="12">
        <v>2.37103651065915</v>
      </c>
      <c r="F17" s="12">
        <v>1.10801401539426</v>
      </c>
    </row>
    <row r="18" spans="1:6">
      <c r="A18" s="10" t="s">
        <v>52</v>
      </c>
      <c r="B18" s="11" t="s">
        <v>3247</v>
      </c>
      <c r="C18" s="11" t="s">
        <v>3248</v>
      </c>
      <c r="D18" s="12">
        <v>0.044559679471602</v>
      </c>
      <c r="E18" s="12">
        <v>2.15803559480797</v>
      </c>
      <c r="F18" s="12">
        <v>1.0185069593509</v>
      </c>
    </row>
    <row r="19" spans="1:6">
      <c r="A19" s="10" t="s">
        <v>85</v>
      </c>
      <c r="B19" s="11" t="s">
        <v>3236</v>
      </c>
      <c r="C19" s="11" t="s">
        <v>3231</v>
      </c>
      <c r="D19" s="12">
        <v>0.000821549303377411</v>
      </c>
      <c r="E19" s="12">
        <v>2.39185322189457</v>
      </c>
      <c r="F19" s="12">
        <v>0.146235776001179</v>
      </c>
    </row>
    <row r="20" spans="1:6">
      <c r="A20" s="10" t="s">
        <v>85</v>
      </c>
      <c r="B20" s="11" t="s">
        <v>3232</v>
      </c>
      <c r="C20" s="11" t="s">
        <v>3231</v>
      </c>
      <c r="D20" s="12">
        <v>0.000983687500700214</v>
      </c>
      <c r="E20" s="12">
        <v>3.52974221789883</v>
      </c>
      <c r="F20" s="12">
        <v>0.087548187562319</v>
      </c>
    </row>
    <row r="21" spans="1:6">
      <c r="A21" s="10" t="s">
        <v>85</v>
      </c>
      <c r="B21" s="11" t="s">
        <v>3235</v>
      </c>
      <c r="C21" s="11" t="s">
        <v>3234</v>
      </c>
      <c r="D21" s="12">
        <v>0.00118318237669712</v>
      </c>
      <c r="E21" s="12">
        <v>2.25003487993551</v>
      </c>
      <c r="F21" s="12">
        <v>0.0702021543506959</v>
      </c>
    </row>
    <row r="22" spans="1:6">
      <c r="A22" s="10" t="s">
        <v>85</v>
      </c>
      <c r="B22" s="11" t="s">
        <v>3249</v>
      </c>
      <c r="C22" s="11" t="s">
        <v>3234</v>
      </c>
      <c r="D22" s="12">
        <v>0.00163389156702398</v>
      </c>
      <c r="E22" s="12">
        <v>1.76522700149003</v>
      </c>
      <c r="F22" s="12">
        <v>0.0727081747325671</v>
      </c>
    </row>
    <row r="23" spans="1:6">
      <c r="A23" s="10" t="s">
        <v>85</v>
      </c>
      <c r="B23" s="11" t="s">
        <v>3250</v>
      </c>
      <c r="C23" s="11" t="s">
        <v>3231</v>
      </c>
      <c r="D23" s="12">
        <v>0.00391393416115304</v>
      </c>
      <c r="E23" s="12">
        <v>3.13754863813229</v>
      </c>
      <c r="F23" s="12">
        <v>0.139336056137048</v>
      </c>
    </row>
    <row r="24" spans="1:6">
      <c r="A24" s="10" t="s">
        <v>85</v>
      </c>
      <c r="B24" s="11" t="s">
        <v>3251</v>
      </c>
      <c r="C24" s="11" t="s">
        <v>3252</v>
      </c>
      <c r="D24" s="12">
        <v>0.00744670517700707</v>
      </c>
      <c r="E24" s="12">
        <v>2.8202684387706</v>
      </c>
      <c r="F24" s="12">
        <v>0.220918920251209</v>
      </c>
    </row>
    <row r="25" s="1" customFormat="1" spans="1:6">
      <c r="A25" s="10" t="s">
        <v>85</v>
      </c>
      <c r="B25" s="11" t="s">
        <v>3253</v>
      </c>
      <c r="C25" s="11" t="s">
        <v>3252</v>
      </c>
      <c r="D25" s="12">
        <v>0.00744670517700707</v>
      </c>
      <c r="E25" s="12">
        <v>2.8202684387706</v>
      </c>
      <c r="F25" s="12">
        <v>0.220918920251209</v>
      </c>
    </row>
    <row r="26" spans="1:6">
      <c r="A26" s="10" t="s">
        <v>85</v>
      </c>
      <c r="B26" s="11" t="s">
        <v>3254</v>
      </c>
      <c r="C26" s="11" t="s">
        <v>3234</v>
      </c>
      <c r="D26" s="12">
        <v>0.00744670517700707</v>
      </c>
      <c r="E26" s="12">
        <v>2.8202684387706</v>
      </c>
      <c r="F26" s="12">
        <v>0.220918920251209</v>
      </c>
    </row>
    <row r="27" spans="1:6">
      <c r="A27" s="10" t="s">
        <v>85</v>
      </c>
      <c r="B27" s="11" t="s">
        <v>3239</v>
      </c>
      <c r="C27" s="11" t="s">
        <v>3234</v>
      </c>
      <c r="D27" s="12">
        <v>0.00996916187116825</v>
      </c>
      <c r="E27" s="12">
        <v>1.74308257674016</v>
      </c>
      <c r="F27" s="12">
        <v>0.197167868118661</v>
      </c>
    </row>
    <row r="28" spans="1:6">
      <c r="A28" s="10" t="s">
        <v>85</v>
      </c>
      <c r="B28" s="11" t="s">
        <v>3230</v>
      </c>
      <c r="C28" s="11" t="s">
        <v>3231</v>
      </c>
      <c r="D28" s="12">
        <v>0.0210364361220164</v>
      </c>
      <c r="E28" s="12">
        <v>3.13754863813229</v>
      </c>
      <c r="F28" s="12">
        <v>0.374448562971892</v>
      </c>
    </row>
    <row r="29" spans="1:6">
      <c r="A29" s="10" t="s">
        <v>85</v>
      </c>
      <c r="B29" s="11" t="s">
        <v>3255</v>
      </c>
      <c r="C29" s="11" t="s">
        <v>3234</v>
      </c>
      <c r="D29" s="12">
        <v>0.0216366169242915</v>
      </c>
      <c r="E29" s="12">
        <v>1.52764540433407</v>
      </c>
      <c r="F29" s="12">
        <v>0.350119801138535</v>
      </c>
    </row>
    <row r="30" spans="1:6">
      <c r="A30" s="10" t="s">
        <v>85</v>
      </c>
      <c r="B30" s="11" t="s">
        <v>3256</v>
      </c>
      <c r="C30" s="11" t="s">
        <v>3234</v>
      </c>
      <c r="D30" s="12">
        <v>0.0219714718937932</v>
      </c>
      <c r="E30" s="12">
        <v>2.09169909208819</v>
      </c>
      <c r="F30" s="12">
        <v>0.325910166424599</v>
      </c>
    </row>
    <row r="31" spans="1:6">
      <c r="A31" s="10" t="s">
        <v>85</v>
      </c>
      <c r="B31" s="11" t="s">
        <v>3257</v>
      </c>
      <c r="C31" s="11" t="s">
        <v>3231</v>
      </c>
      <c r="D31" s="12">
        <v>0.029369115861358</v>
      </c>
      <c r="E31" s="12">
        <v>2.20178851798757</v>
      </c>
      <c r="F31" s="12">
        <v>0.402130971024748</v>
      </c>
    </row>
    <row r="32" spans="1:6">
      <c r="A32" s="10" t="s">
        <v>85</v>
      </c>
      <c r="B32" s="11" t="s">
        <v>3258</v>
      </c>
      <c r="C32" s="11" t="s">
        <v>3241</v>
      </c>
      <c r="D32" s="12">
        <v>0.0339522993035347</v>
      </c>
      <c r="E32" s="12">
        <v>2.03150631245975</v>
      </c>
      <c r="F32" s="12">
        <v>0.431679234002084</v>
      </c>
    </row>
    <row r="33" spans="1:6">
      <c r="A33" s="10" t="s">
        <v>85</v>
      </c>
      <c r="B33" s="11" t="s">
        <v>3259</v>
      </c>
      <c r="C33" s="11" t="s">
        <v>3241</v>
      </c>
      <c r="D33" s="12">
        <v>0.037076626681918</v>
      </c>
      <c r="E33" s="12">
        <v>2.70478330873473</v>
      </c>
      <c r="F33" s="12">
        <v>0.43997596995876</v>
      </c>
    </row>
    <row r="34" spans="1:6">
      <c r="A34" s="10" t="s">
        <v>85</v>
      </c>
      <c r="B34" s="11" t="s">
        <v>3260</v>
      </c>
      <c r="C34" s="11" t="s">
        <v>3234</v>
      </c>
      <c r="D34" s="12">
        <v>0.0376100781931609</v>
      </c>
      <c r="E34" s="12">
        <v>1.33654894063143</v>
      </c>
      <c r="F34" s="12">
        <v>0.418412119898915</v>
      </c>
    </row>
    <row r="35" spans="1:6">
      <c r="A35" s="13" t="s">
        <v>149</v>
      </c>
      <c r="B35" s="14" t="s">
        <v>3233</v>
      </c>
      <c r="C35" s="14" t="s">
        <v>3234</v>
      </c>
      <c r="D35" s="15">
        <v>0.0126149074804488</v>
      </c>
      <c r="E35" s="15">
        <v>2.14423681284146</v>
      </c>
      <c r="F35" s="15">
        <v>1.27410565552532</v>
      </c>
    </row>
    <row r="36" spans="1:8">
      <c r="A36" s="16" t="s">
        <v>3225</v>
      </c>
      <c r="B36" s="16"/>
      <c r="C36" s="16"/>
      <c r="D36" s="16"/>
      <c r="E36" s="16"/>
      <c r="F36" s="16"/>
      <c r="G36" s="16"/>
      <c r="H36" s="16"/>
    </row>
  </sheetData>
  <sortState ref="A3:F24">
    <sortCondition ref="A3"/>
  </sortState>
  <mergeCells count="2">
    <mergeCell ref="A1:F1"/>
    <mergeCell ref="A36:H3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chenyiqing</dc:creator>
  <cp:lastModifiedBy>陈包包</cp:lastModifiedBy>
  <dcterms:created xsi:type="dcterms:W3CDTF">2023-09-27T20:30:00Z</dcterms:created>
  <dcterms:modified xsi:type="dcterms:W3CDTF">2024-02-07T13:43:50Z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4D597DA39D13D031737D386559957253_43</vt:lpwstr>
  </property>
  <property fmtid="{D5CDD505-2E9C-101B-9397-08002B2CF9AE}" pid="3" name="KSOProductBuildVer">
    <vt:lpwstr>2052-6.5.1.8687</vt:lpwstr>
  </property>
</Properties>
</file>